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9200" windowHeight="6765" activeTab="2"/>
  </bookViews>
  <sheets>
    <sheet name="COMPUTATION " sheetId="8" r:id="rId1"/>
    <sheet name="Balance Sheet " sheetId="1" r:id="rId2"/>
    <sheet name="PL New Format" sheetId="15" r:id="rId3"/>
    <sheet name="FA" sheetId="6" r:id="rId4"/>
    <sheet name="F.A. " sheetId="4" state="hidden" r:id="rId5"/>
    <sheet name="Notes" sheetId="7" r:id="rId6"/>
    <sheet name="Accounting Policies" sheetId="10" r:id="rId7"/>
    <sheet name="Loan Schedule " sheetId="12" state="hidden" r:id="rId8"/>
  </sheets>
  <externalReferences>
    <externalReference r:id="rId9"/>
    <externalReference r:id="rId10"/>
    <externalReference r:id="rId11"/>
    <externalReference r:id="rId12"/>
  </externalReferences>
  <definedNames>
    <definedName name="_a100000" localSheetId="6">'[1]IE &amp; BS'!#REF!</definedName>
    <definedName name="_a100000" localSheetId="7">'[1]IE &amp; BS'!#REF!</definedName>
    <definedName name="_a100000" localSheetId="2">'[1]IE &amp; BS'!#REF!</definedName>
    <definedName name="_a100000">'[1]IE &amp; BS'!#REF!</definedName>
    <definedName name="a">[2]BF_1!$DM$1:$EI$119</definedName>
    <definedName name="aaa">[2]BF_1!$EV$1:$EZ$31</definedName>
    <definedName name="ChallanDatabase">[3]Challan!$A$7:$S$58</definedName>
    <definedName name="ChallanDatabaseTotal">[3]Challan!$A$7:$U$58</definedName>
    <definedName name="ChallanSrnoList">[3]Challan!$A$7:$A$57</definedName>
    <definedName name="check" localSheetId="6">#REF!</definedName>
    <definedName name="check" localSheetId="7">#REF!</definedName>
    <definedName name="check">#REF!</definedName>
    <definedName name="nSkip">15</definedName>
    <definedName name="_xlnm.Print_Area" localSheetId="6">'Accounting Policies'!$A$1:$E$38</definedName>
    <definedName name="_xlnm.Print_Area" localSheetId="1">'Balance Sheet '!$A$1:$E$63</definedName>
    <definedName name="_xlnm.Print_Area" localSheetId="0">'COMPUTATION '!$A$1:$H$46</definedName>
    <definedName name="_xlnm.Print_Area" localSheetId="3">FA!$A$1:$J$36</definedName>
    <definedName name="_xlnm.Print_Area" localSheetId="7">'Loan Schedule '!$A$1:$H$31</definedName>
    <definedName name="_xlnm.Print_Area" localSheetId="5">Notes!$A$1:$F$85</definedName>
    <definedName name="_xlnm.Print_Area" localSheetId="2">'PL New Format'!$A$1:$E$46</definedName>
    <definedName name="_xlnm.Print_Titles" localSheetId="6">'Accounting Policies'!$3:$6</definedName>
    <definedName name="_xlnm.Print_Titles" localSheetId="5">Notes!$3:$7</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85" i="7" l="1"/>
  <c r="H12" i="7"/>
  <c r="A45" i="15" l="1"/>
  <c r="A44" i="15"/>
  <c r="A43" i="15"/>
  <c r="A42" i="15"/>
  <c r="A41" i="15"/>
  <c r="A39" i="15"/>
  <c r="A38" i="15"/>
  <c r="A37" i="15"/>
  <c r="D45" i="15"/>
  <c r="D44" i="15"/>
  <c r="D43" i="15"/>
  <c r="D42" i="15"/>
  <c r="D41" i="15"/>
  <c r="E51" i="7" l="1"/>
  <c r="E53" i="7" s="1"/>
  <c r="E59" i="7" l="1"/>
  <c r="D9" i="15"/>
  <c r="D44" i="8"/>
  <c r="L12" i="7"/>
  <c r="E47" i="7"/>
  <c r="E46" i="7"/>
  <c r="E45" i="7"/>
  <c r="E44" i="7"/>
  <c r="K12" i="7"/>
  <c r="I12" i="7"/>
  <c r="B6" i="6" l="1"/>
  <c r="B5" i="6"/>
  <c r="B4" i="6"/>
  <c r="B3" i="6"/>
  <c r="B2" i="6"/>
  <c r="B1" i="6"/>
  <c r="E17" i="15"/>
  <c r="E9" i="15"/>
  <c r="A6" i="15"/>
  <c r="A5" i="15"/>
  <c r="A4" i="15"/>
  <c r="A3" i="15"/>
  <c r="A2" i="15"/>
  <c r="A1" i="15"/>
  <c r="E33" i="15" l="1"/>
  <c r="D33" i="15"/>
  <c r="E29" i="15"/>
  <c r="D29" i="15"/>
  <c r="E11" i="15"/>
  <c r="D11" i="15"/>
  <c r="E77" i="7" l="1"/>
  <c r="F17" i="7"/>
  <c r="E43" i="7" l="1"/>
  <c r="D44" i="1" s="1"/>
  <c r="E73" i="7"/>
  <c r="E79" i="7" s="1"/>
  <c r="D18" i="15" s="1"/>
  <c r="F79" i="7"/>
  <c r="E18" i="15" s="1"/>
  <c r="E31" i="1" l="1"/>
  <c r="E82" i="7"/>
  <c r="D16" i="15" s="1"/>
  <c r="E26" i="7"/>
  <c r="J12" i="7"/>
  <c r="A2" i="10" l="1"/>
  <c r="A1" i="10"/>
  <c r="A2" i="7"/>
  <c r="A1" i="7"/>
  <c r="G43" i="7" l="1"/>
  <c r="F47" i="7" l="1"/>
  <c r="E44" i="1" s="1"/>
  <c r="E64" i="7" l="1"/>
  <c r="E35" i="7"/>
  <c r="E33" i="1"/>
  <c r="F19" i="7"/>
  <c r="H53" i="7" l="1"/>
  <c r="F85" i="7" l="1"/>
  <c r="E16" i="15" s="1"/>
  <c r="F40" i="7"/>
  <c r="E42" i="1" s="1"/>
  <c r="E40" i="7"/>
  <c r="D42" i="1" s="1"/>
  <c r="H39" i="8" s="1"/>
  <c r="F27" i="7"/>
  <c r="E27" i="7"/>
  <c r="D20" i="1" s="1"/>
  <c r="F23" i="7"/>
  <c r="E23" i="7"/>
  <c r="D15" i="1" s="1"/>
  <c r="H27" i="6" l="1"/>
  <c r="H28" i="6"/>
  <c r="H29" i="6"/>
  <c r="H26" i="6"/>
  <c r="F35" i="7" l="1"/>
  <c r="E37" i="1" s="1"/>
  <c r="D36" i="1"/>
  <c r="D37" i="1" s="1"/>
  <c r="F31" i="7"/>
  <c r="E31" i="7"/>
  <c r="D25" i="1" s="1"/>
  <c r="E40" i="1"/>
  <c r="E46" i="1" s="1"/>
  <c r="D40" i="1"/>
  <c r="F53" i="7"/>
  <c r="E58" i="7"/>
  <c r="F68" i="7"/>
  <c r="E15" i="15" s="1"/>
  <c r="E68" i="7"/>
  <c r="D15" i="15" s="1"/>
  <c r="F60" i="7"/>
  <c r="F62" i="7" s="1"/>
  <c r="E14" i="15" s="1"/>
  <c r="E19" i="15" s="1"/>
  <c r="E20" i="15" s="1"/>
  <c r="E22" i="15" s="1"/>
  <c r="E24" i="15" s="1"/>
  <c r="E30" i="15" s="1"/>
  <c r="E34" i="15" s="1"/>
  <c r="F11" i="7" l="1"/>
  <c r="H79" i="7"/>
  <c r="E60" i="7"/>
  <c r="E62" i="7" s="1"/>
  <c r="D14" i="15" s="1"/>
  <c r="E47" i="1"/>
  <c r="F63" i="7"/>
  <c r="F64" i="7" s="1"/>
  <c r="G60" i="7" l="1"/>
  <c r="F12" i="7" l="1"/>
  <c r="H60" i="7" l="1"/>
  <c r="L10" i="1" l="1"/>
  <c r="L9" i="1"/>
  <c r="C22" i="6" l="1"/>
  <c r="E17" i="7" s="1"/>
  <c r="I17" i="6"/>
  <c r="I20" i="6"/>
  <c r="I14" i="6"/>
  <c r="A3" i="1"/>
  <c r="A3" i="7" s="1"/>
  <c r="A6" i="1"/>
  <c r="A5" i="1"/>
  <c r="A5" i="7" l="1"/>
  <c r="A6" i="7"/>
  <c r="A3" i="10"/>
  <c r="I22" i="6"/>
  <c r="E18" i="7" l="1"/>
  <c r="C13" i="12"/>
  <c r="A2" i="12"/>
  <c r="A1" i="12"/>
  <c r="C30" i="12"/>
  <c r="C29" i="12"/>
  <c r="C28" i="12"/>
  <c r="C27" i="12"/>
  <c r="G24" i="12"/>
  <c r="A23" i="12"/>
  <c r="A17" i="12"/>
  <c r="D16" i="12"/>
  <c r="E16" i="12" s="1"/>
  <c r="C11" i="12"/>
  <c r="E19" i="7" l="1"/>
  <c r="D17" i="15"/>
  <c r="D19" i="15" s="1"/>
  <c r="D20" i="15" s="1"/>
  <c r="D22" i="15" s="1"/>
  <c r="D24" i="15" s="1"/>
  <c r="D30" i="15" s="1"/>
  <c r="D34" i="15" s="1"/>
  <c r="H15" i="8" s="1"/>
  <c r="F16" i="12"/>
  <c r="H16" i="12" s="1"/>
  <c r="D17" i="12" s="1"/>
  <c r="E17" i="12" s="1"/>
  <c r="F17" i="12" s="1"/>
  <c r="H17" i="12" s="1"/>
  <c r="D18" i="12" s="1"/>
  <c r="E18" i="12" s="1"/>
  <c r="F18" i="12" s="1"/>
  <c r="H18" i="12" s="1"/>
  <c r="D19" i="12" s="1"/>
  <c r="E19" i="12" s="1"/>
  <c r="F19" i="12" s="1"/>
  <c r="H19" i="12" s="1"/>
  <c r="D20" i="12" s="1"/>
  <c r="E20" i="12" s="1"/>
  <c r="F20" i="12" s="1"/>
  <c r="H20" i="12" s="1"/>
  <c r="D21" i="12" s="1"/>
  <c r="E21" i="12" s="1"/>
  <c r="F21" i="12" s="1"/>
  <c r="H21" i="12" s="1"/>
  <c r="D22" i="12" s="1"/>
  <c r="E22" i="12" s="1"/>
  <c r="F22" i="12" s="1"/>
  <c r="H22" i="12" s="1"/>
  <c r="D23" i="12" s="1"/>
  <c r="E23" i="12" s="1"/>
  <c r="F23" i="12" s="1"/>
  <c r="H23" i="12" s="1"/>
  <c r="G79" i="7" l="1"/>
  <c r="E11" i="7"/>
  <c r="H20" i="8"/>
  <c r="E24" i="12"/>
  <c r="A3" i="12" l="1"/>
  <c r="A5" i="12" l="1"/>
  <c r="D33" i="10" l="1"/>
  <c r="D36" i="10"/>
  <c r="D35" i="10"/>
  <c r="D34" i="10"/>
  <c r="A4" i="1"/>
  <c r="I36" i="8"/>
  <c r="A4" i="7" l="1"/>
  <c r="A4" i="12"/>
  <c r="B6" i="10"/>
  <c r="A6" i="12"/>
  <c r="D46" i="8"/>
  <c r="D45" i="8" s="1"/>
  <c r="H21" i="8"/>
  <c r="H27" i="8" s="1"/>
  <c r="H28" i="8" s="1"/>
  <c r="H29" i="8" s="1"/>
  <c r="H30" i="8" s="1"/>
  <c r="H31" i="8" s="1"/>
  <c r="G44" i="1"/>
  <c r="G43" i="1"/>
  <c r="G41" i="1"/>
  <c r="H41" i="1" s="1"/>
  <c r="G39" i="1"/>
  <c r="G38" i="1"/>
  <c r="G36" i="1"/>
  <c r="G35" i="1"/>
  <c r="G34" i="1"/>
  <c r="G30" i="1"/>
  <c r="G29" i="1"/>
  <c r="G28" i="1"/>
  <c r="G25" i="1"/>
  <c r="G24" i="1"/>
  <c r="G23" i="1"/>
  <c r="G22" i="1"/>
  <c r="G21" i="1"/>
  <c r="G20" i="1"/>
  <c r="G19" i="1"/>
  <c r="G17" i="1"/>
  <c r="G16" i="1"/>
  <c r="G15" i="1"/>
  <c r="E26" i="1"/>
  <c r="G40" i="1" l="1"/>
  <c r="H40" i="1" s="1"/>
  <c r="H33" i="8"/>
  <c r="F22" i="6"/>
  <c r="G20" i="6"/>
  <c r="H20" i="6" s="1"/>
  <c r="G17" i="6"/>
  <c r="H17" i="6" s="1"/>
  <c r="G14" i="6"/>
  <c r="H14" i="6" s="1"/>
  <c r="H22" i="6" l="1"/>
  <c r="K22" i="6" s="1"/>
  <c r="E22" i="6"/>
  <c r="E46" i="8"/>
  <c r="J20" i="6"/>
  <c r="J17" i="6"/>
  <c r="J14" i="6"/>
  <c r="G22" i="6"/>
  <c r="J22" i="6" l="1"/>
  <c r="H34" i="8"/>
  <c r="H35" i="8" s="1"/>
  <c r="H38" i="8" s="1"/>
  <c r="H41" i="8" s="1"/>
  <c r="D32" i="1"/>
  <c r="G32" i="1" s="1"/>
  <c r="H32" i="1" s="1"/>
  <c r="L22" i="6" l="1"/>
  <c r="D31" i="1"/>
  <c r="D33" i="1" l="1"/>
  <c r="G31" i="1"/>
  <c r="H31" i="1" s="1"/>
  <c r="D26" i="1"/>
  <c r="G26" i="1" l="1"/>
  <c r="H26" i="1" s="1"/>
  <c r="G33" i="1"/>
  <c r="H33" i="1" s="1"/>
  <c r="F46" i="1"/>
  <c r="F37" i="1"/>
  <c r="F26" i="1"/>
  <c r="F18" i="1"/>
  <c r="E18" i="1"/>
  <c r="D18" i="1"/>
  <c r="F13" i="1"/>
  <c r="G18" i="1" l="1"/>
  <c r="G37" i="1"/>
  <c r="H37" i="1" s="1"/>
  <c r="F47" i="1"/>
  <c r="F27" i="1"/>
  <c r="D11" i="4" l="1"/>
  <c r="G10" i="4"/>
  <c r="I10" i="4" s="1"/>
  <c r="J10" i="4" s="1"/>
  <c r="G9" i="4"/>
  <c r="I9" i="4" s="1"/>
  <c r="I11" i="4" l="1"/>
  <c r="J9" i="4"/>
  <c r="G11" i="4"/>
  <c r="J11" i="4"/>
  <c r="A2" i="4" l="1"/>
  <c r="A1" i="4"/>
  <c r="C11" i="4"/>
  <c r="H11" i="4" l="1"/>
  <c r="F11" i="4"/>
  <c r="E11" i="4"/>
  <c r="B9" i="4"/>
  <c r="B4" i="10" l="1"/>
  <c r="B5" i="10"/>
  <c r="F14" i="7" l="1"/>
  <c r="E12" i="1" s="1"/>
  <c r="E13" i="1" s="1"/>
  <c r="E10" i="7" l="1"/>
  <c r="E12" i="7" s="1"/>
  <c r="E14" i="7" s="1"/>
  <c r="D12" i="1" s="1"/>
  <c r="E27" i="1"/>
  <c r="E48" i="1" s="1"/>
  <c r="D13" i="1" l="1"/>
  <c r="D27" i="1" s="1"/>
  <c r="D45" i="1" s="1"/>
  <c r="D46" i="1" s="1"/>
  <c r="G12" i="1"/>
  <c r="H12" i="1" s="1"/>
  <c r="G13" i="1" l="1"/>
  <c r="H13" i="1" s="1"/>
  <c r="G27" i="1" l="1"/>
  <c r="H27" i="1" s="1"/>
  <c r="G45" i="1" l="1"/>
  <c r="H45" i="1" s="1"/>
  <c r="G46" i="1" l="1"/>
  <c r="H46" i="1" s="1"/>
  <c r="D47" i="1"/>
  <c r="G47" i="1" l="1"/>
  <c r="H47" i="1" s="1"/>
  <c r="D48" i="1"/>
</calcChain>
</file>

<file path=xl/sharedStrings.xml><?xml version="1.0" encoding="utf-8"?>
<sst xmlns="http://schemas.openxmlformats.org/spreadsheetml/2006/main" count="354" uniqueCount="312">
  <si>
    <t>Assets</t>
  </si>
  <si>
    <t>Particulars</t>
  </si>
  <si>
    <t xml:space="preserve"> </t>
  </si>
  <si>
    <t>Closing Balance</t>
  </si>
  <si>
    <t>Depreciation Rate</t>
  </si>
  <si>
    <t>Total Value</t>
  </si>
  <si>
    <t>Addition</t>
  </si>
  <si>
    <t>Sr. No.</t>
  </si>
  <si>
    <t>Fixed Assets Chart</t>
  </si>
  <si>
    <t xml:space="preserve">Opening WDV </t>
  </si>
  <si>
    <t>Total</t>
  </si>
  <si>
    <t xml:space="preserve">Deletion </t>
  </si>
  <si>
    <t>Less Grants</t>
  </si>
  <si>
    <t>Depreciation Value</t>
  </si>
  <si>
    <t>For the Year Ending on 31 March 2020</t>
  </si>
  <si>
    <t>Balvinder Singh Kalsi</t>
  </si>
  <si>
    <t>(Trustee)</t>
  </si>
  <si>
    <t>Current Assets</t>
  </si>
  <si>
    <t xml:space="preserve"> For Realizing Dreams Foundation</t>
  </si>
  <si>
    <t>Current Liabilities</t>
  </si>
  <si>
    <t>Inderbir Kaur Kalsi</t>
  </si>
  <si>
    <t>(Managing Trustee)</t>
  </si>
  <si>
    <t>As at 31st March 2022</t>
  </si>
  <si>
    <t>As at 31st March 2024</t>
  </si>
  <si>
    <t>Note</t>
  </si>
  <si>
    <t>Non-current liabilities</t>
  </si>
  <si>
    <t>Long-term borrowings</t>
  </si>
  <si>
    <t xml:space="preserve">Other long-term liabilities </t>
  </si>
  <si>
    <t>Long-term provisions</t>
  </si>
  <si>
    <t>I</t>
  </si>
  <si>
    <t>(a)</t>
  </si>
  <si>
    <t>(b)</t>
  </si>
  <si>
    <t>(d)</t>
  </si>
  <si>
    <t>(c )</t>
  </si>
  <si>
    <t>Short-term borrowings</t>
  </si>
  <si>
    <t>Trade payables</t>
  </si>
  <si>
    <t>Total outstanding dues of micro, small and medium enterprises</t>
  </si>
  <si>
    <t>Total outstanding dues of creditors other than micro, small and medium enterprises</t>
  </si>
  <si>
    <t>Other current liabilities</t>
  </si>
  <si>
    <t>Short-term provisions</t>
  </si>
  <si>
    <t>(i)</t>
  </si>
  <si>
    <t>(ii)</t>
  </si>
  <si>
    <t>II</t>
  </si>
  <si>
    <t>Non-current assets</t>
  </si>
  <si>
    <t>Non-current investments</t>
  </si>
  <si>
    <t>(c)</t>
  </si>
  <si>
    <t>Long Term Loans and Advances</t>
  </si>
  <si>
    <t>(e)</t>
  </si>
  <si>
    <t>Other non-current assets</t>
  </si>
  <si>
    <t>Current investments</t>
  </si>
  <si>
    <t>Inventories</t>
  </si>
  <si>
    <t>Trade receivables</t>
  </si>
  <si>
    <t xml:space="preserve">Short Term Loans and Advances </t>
  </si>
  <si>
    <t xml:space="preserve">Total </t>
  </si>
  <si>
    <t>(b )</t>
  </si>
  <si>
    <t>Total (A)</t>
  </si>
  <si>
    <t xml:space="preserve">SOURCES OF FUNDS </t>
  </si>
  <si>
    <t>APPLICATION OF FUNDS</t>
  </si>
  <si>
    <t>Opening Balance</t>
  </si>
  <si>
    <t>ASSETS</t>
  </si>
  <si>
    <t>GROSS BOLCK</t>
  </si>
  <si>
    <t>DEPRECIATION</t>
  </si>
  <si>
    <t>NET BLOCK</t>
  </si>
  <si>
    <t>RATE OF DEPRECIATION</t>
  </si>
  <si>
    <t>ADDITION</t>
  </si>
  <si>
    <t>TOTAL PURCHASE</t>
  </si>
  <si>
    <t>TOTAL</t>
  </si>
  <si>
    <t>BLOCK-I : 10%</t>
  </si>
  <si>
    <t>BLOCK-II : 15%</t>
  </si>
  <si>
    <t>BLOCK-III : 40%</t>
  </si>
  <si>
    <t>Computer &amp; Printer</t>
  </si>
  <si>
    <t>Add: Profit During the year</t>
  </si>
  <si>
    <t>Less: Drawings</t>
  </si>
  <si>
    <t>Capital As on 31.03.2025 (C=A-B)</t>
  </si>
  <si>
    <t>Owners Fund</t>
  </si>
  <si>
    <t>Capital A/c</t>
  </si>
  <si>
    <t>Fixed Assets</t>
  </si>
  <si>
    <t>Opening Stock</t>
  </si>
  <si>
    <t>Rent</t>
  </si>
  <si>
    <t>Communication Expenses</t>
  </si>
  <si>
    <t>BALANCE SHEET AS ON 31ST MARCH 2025</t>
  </si>
  <si>
    <t>Gross Book Value</t>
  </si>
  <si>
    <t>Less : Depreciation</t>
  </si>
  <si>
    <t>Net Book Value</t>
  </si>
  <si>
    <t>As at 31st March 2025</t>
  </si>
  <si>
    <t>Actual Change</t>
  </si>
  <si>
    <t>% of Change</t>
  </si>
  <si>
    <t>General Expenses</t>
  </si>
  <si>
    <t>FIXED ASSET SCHEDULE FOR THE YEAR ENDED 31.03.2025</t>
  </si>
  <si>
    <t>BALANCE AS ON 01.04.2024</t>
  </si>
  <si>
    <t>UPTO 03.10.2024</t>
  </si>
  <si>
    <t>AFTER 03.10.2024</t>
  </si>
  <si>
    <t>WDV AS ON 31.03.2025</t>
  </si>
  <si>
    <t>Plant &amp; machinery</t>
  </si>
  <si>
    <t>Sd/-</t>
  </si>
  <si>
    <t>PAN</t>
  </si>
  <si>
    <t>Bank &amp; Branch</t>
  </si>
  <si>
    <t xml:space="preserve">AY. YEAR </t>
  </si>
  <si>
    <t>2024-2025</t>
  </si>
  <si>
    <t>Bank A/c</t>
  </si>
  <si>
    <t>FATHER</t>
  </si>
  <si>
    <t xml:space="preserve">FY. YEAR </t>
  </si>
  <si>
    <t xml:space="preserve">IFSC </t>
  </si>
  <si>
    <t>DOB</t>
  </si>
  <si>
    <t xml:space="preserve">Status </t>
  </si>
  <si>
    <t>Individual</t>
  </si>
  <si>
    <t>COMPUTATION OF INCOME</t>
  </si>
  <si>
    <t>Details</t>
  </si>
  <si>
    <t>INCOME FROM PROFESSION</t>
  </si>
  <si>
    <t xml:space="preserve">As per Profit &amp; loss A/c 44AD </t>
  </si>
  <si>
    <t>INCOME FROM OTHER SOURCES</t>
  </si>
  <si>
    <t>Bank Interest</t>
  </si>
  <si>
    <t>Gross Total Income</t>
  </si>
  <si>
    <t>Total Income</t>
  </si>
  <si>
    <t>less: Deduction:</t>
  </si>
  <si>
    <t>U/s 80C</t>
  </si>
  <si>
    <t>Insurance Premium</t>
  </si>
  <si>
    <t>Children Edu. Fee</t>
  </si>
  <si>
    <t>U/S 80TTA</t>
  </si>
  <si>
    <t>Round Off U/s 288A</t>
  </si>
  <si>
    <t>Basic Tax</t>
  </si>
  <si>
    <t>Less: U/s 87A</t>
  </si>
  <si>
    <t>Tax After Rebate</t>
  </si>
  <si>
    <t>Add: HEC @ 4 %</t>
  </si>
  <si>
    <t>Add: Late Fee  U/s 234F</t>
  </si>
  <si>
    <t>less: Amount Paid U/s 140A</t>
  </si>
  <si>
    <t>Tax Payable (Refundable)</t>
  </si>
  <si>
    <t>Note :-</t>
  </si>
  <si>
    <t>Gross Receipt</t>
  </si>
  <si>
    <t>Total Expenses</t>
  </si>
  <si>
    <t>Net Profit</t>
  </si>
  <si>
    <t>Place : Kharupetia</t>
  </si>
  <si>
    <t>Less: Marginal Relief</t>
  </si>
  <si>
    <t>Add: Interest u/s 234A/B/C</t>
  </si>
  <si>
    <t>2025-2026</t>
  </si>
  <si>
    <t>1</t>
  </si>
  <si>
    <t>1. Basis of Preparation of Financial Statements</t>
  </si>
  <si>
    <t>The financial statements have been prepared under the historical cost convention on an accrual basis of accounting and in accordance with the applicable Accounting Standards as prescribed under the Companies (Accounting Standards) Rules, 2021 and the relevant provisions of the Companies Act, 2013.</t>
  </si>
  <si>
    <t>2. Use of Estimates</t>
  </si>
  <si>
    <t>The preparation of financial statements in conformity with Indian GAAP requires management to make estimates and assumptions that affect the reported amounts of assets, liabilities, revenues, and expenses. Actual results could differ from these estimates. Any revision to accounting estimates is recognized prospectively</t>
  </si>
  <si>
    <t>3. Revenue Recognition</t>
  </si>
  <si>
    <t xml:space="preserve">Revenue is recognized to the extent it is probable that the economic benefits will flow to the company and the revenue can be reliably measured:
- Sale of goods is recognized on transfer of significant risks and rewards of ownership.
- Income from services is recognized as per the terms of the contract.
- Interest income is recognized on a time proportion basis.
- Dividend income is recognized when the right to receive payment is established.
</t>
  </si>
  <si>
    <t>4. Property, Plant and Equipment (PPE)</t>
  </si>
  <si>
    <t xml:space="preserve">Tangible fixed assets are stated at cost, net of accumulated depreciation and impairment losses, if any. The cost comprises the purchase price and directly attributable costs for bringing the asset to its working condition.
Depreciation is provided on a [Straight Line Method / Written Down Value Method] as per the useful life specified in Schedule II to the Companies Act, 2013.
</t>
  </si>
  <si>
    <t>A provision is recognized when the company has a present obligation as a result of past events and it is probable that an outflow of resources will be required to settle the obligation. Contingent liabilities are disclosed unless the possibility of an outflow is remote.</t>
  </si>
  <si>
    <t>Cash and cash equivalents include cash in hand, bank balances, demand deposits, and other short-term highly liquid investments with original maturities of three months or less.</t>
  </si>
  <si>
    <t>6. Taxes on Income</t>
  </si>
  <si>
    <t>5. Inventories</t>
  </si>
  <si>
    <t>7. Provisions and Contingencies</t>
  </si>
  <si>
    <t>8. Cash and Cash Equivalents</t>
  </si>
  <si>
    <t>*Current tax is determined based on the taxable income for the year as per applicable income tax laws.                                                                                                                             *Deferred tax is recognized on timing differences between accounting and taxable income using the tax rates and laws that have been enacted or substantively enacted as of the balance sheet date.</t>
  </si>
  <si>
    <t>Inventories are valued at the lower of cost or net realizable value. Cost of inventories is determined on FIFO basis. Cost includes all expenses incurred in bringing the inventory to its present location and condition</t>
  </si>
  <si>
    <t>Round off u/s 288B</t>
  </si>
  <si>
    <t>Amount(`)</t>
  </si>
  <si>
    <t>Annexure -1</t>
  </si>
  <si>
    <t>Note : For Accounting Policies</t>
  </si>
  <si>
    <t>Total as on 31.03.2025</t>
  </si>
  <si>
    <t>Accounting Policies (Notes to Accounts)</t>
  </si>
  <si>
    <t>Capital Account</t>
  </si>
  <si>
    <t>(g)</t>
  </si>
  <si>
    <t>Power &amp; Fuel</t>
  </si>
  <si>
    <t>(f)</t>
  </si>
  <si>
    <t>Statement of Loan &amp; Closing Balance As on 31.03.2025</t>
  </si>
  <si>
    <t>Loan Amount</t>
  </si>
  <si>
    <t>Interest Rate</t>
  </si>
  <si>
    <t>Monthly</t>
  </si>
  <si>
    <t>Tenure</t>
  </si>
  <si>
    <t>Month</t>
  </si>
  <si>
    <t>EMI</t>
  </si>
  <si>
    <t>Sl. No</t>
  </si>
  <si>
    <t>Year</t>
  </si>
  <si>
    <t>Opining Balance</t>
  </si>
  <si>
    <t>Interest</t>
  </si>
  <si>
    <t>Total Amount</t>
  </si>
  <si>
    <t>Emi</t>
  </si>
  <si>
    <t>August</t>
  </si>
  <si>
    <t>September</t>
  </si>
  <si>
    <t>Oct</t>
  </si>
  <si>
    <t>Nov</t>
  </si>
  <si>
    <t>December</t>
  </si>
  <si>
    <t>January</t>
  </si>
  <si>
    <t>Feb</t>
  </si>
  <si>
    <t>March</t>
  </si>
  <si>
    <t>Bank Charges</t>
  </si>
  <si>
    <t>Cash at Bank</t>
  </si>
  <si>
    <t>Revenue from Operation</t>
  </si>
  <si>
    <t>Other Income</t>
  </si>
  <si>
    <t>Nil</t>
  </si>
  <si>
    <t>Cost of Goods Sold</t>
  </si>
  <si>
    <t>Add: Purchase</t>
  </si>
  <si>
    <t>Less: Closing Stock</t>
  </si>
  <si>
    <t>Employee Benefit Expenses</t>
  </si>
  <si>
    <t>Finance Cost</t>
  </si>
  <si>
    <t>Depreciation &amp; Amortization</t>
  </si>
  <si>
    <t>Other Administrative Expenses</t>
  </si>
  <si>
    <t>Note No.</t>
  </si>
  <si>
    <t>Salary Expenses</t>
  </si>
  <si>
    <t>Auidt Fee</t>
  </si>
  <si>
    <t>Printing &amp; Stationery</t>
  </si>
  <si>
    <t>31.03.2025</t>
  </si>
  <si>
    <t>31.03.2024</t>
  </si>
  <si>
    <t>Gorss Profit</t>
  </si>
  <si>
    <t>% of Gross Profit</t>
  </si>
  <si>
    <t>3</t>
  </si>
  <si>
    <t>Short Term Provision</t>
  </si>
  <si>
    <t>Audit Fee Payable</t>
  </si>
  <si>
    <t>4</t>
  </si>
  <si>
    <t>2</t>
  </si>
  <si>
    <t>Non-Current Assets</t>
  </si>
  <si>
    <t>Secrity Deposits</t>
  </si>
  <si>
    <t>7</t>
  </si>
  <si>
    <t>8</t>
  </si>
  <si>
    <t>5</t>
  </si>
  <si>
    <t>Cash in Hand</t>
  </si>
  <si>
    <t>6</t>
  </si>
  <si>
    <t>Note (2) :</t>
  </si>
  <si>
    <t>Balance with Revenue Authorities</t>
  </si>
  <si>
    <t>Chartered Accountants</t>
  </si>
  <si>
    <t>(Proprietor)</t>
  </si>
  <si>
    <t>Long Term Borrowings</t>
  </si>
  <si>
    <t>Short Term Borrowings</t>
  </si>
  <si>
    <t>Balances with Revenue Authority</t>
  </si>
  <si>
    <t>TDS</t>
  </si>
  <si>
    <t>ITC</t>
  </si>
  <si>
    <t xml:space="preserve">Less: TDS </t>
  </si>
  <si>
    <t>Less: Depreciation</t>
  </si>
  <si>
    <t>Conveyance Expenses</t>
  </si>
  <si>
    <t>SBIN0002077</t>
  </si>
  <si>
    <t>STATE BANK OF INDIA</t>
  </si>
  <si>
    <t>Deposits</t>
  </si>
  <si>
    <t>Bank Charge</t>
  </si>
  <si>
    <t>Prop:-</t>
  </si>
  <si>
    <t>TALEP ALI</t>
  </si>
  <si>
    <t>C/O : SALEH UDDIN , VILL : NAGAJAN</t>
  </si>
  <si>
    <t>P.O : KHARUPETIA , DIST. : DARRANG</t>
  </si>
  <si>
    <t>STATE : ASSAM, PIN : 784115</t>
  </si>
  <si>
    <t>BSBPA6931N</t>
  </si>
  <si>
    <t>35940302898</t>
  </si>
  <si>
    <t>18.06.1997</t>
  </si>
  <si>
    <t>SALEH UDDIN</t>
  </si>
  <si>
    <t>TALEP VEGETABLE SHOP</t>
  </si>
  <si>
    <t>For, Talep Vegetable Shop</t>
  </si>
  <si>
    <t>Talep Ali</t>
  </si>
  <si>
    <t>Loading &amp; Packing</t>
  </si>
  <si>
    <t>Bank Name</t>
  </si>
  <si>
    <t>Deposit</t>
  </si>
  <si>
    <t>Int rec</t>
  </si>
  <si>
    <t>Int Pay</t>
  </si>
  <si>
    <t>Closing</t>
  </si>
  <si>
    <t>HDFC_582</t>
  </si>
  <si>
    <t>NORTH EAST</t>
  </si>
  <si>
    <t>HDFC - 50200094027845</t>
  </si>
  <si>
    <t>Interest on CC</t>
  </si>
  <si>
    <t>HDFC_845_CC</t>
  </si>
  <si>
    <t>Hdfc A/c - 50200066184582</t>
  </si>
  <si>
    <t>North East A/c - 10190000669264</t>
  </si>
  <si>
    <t>Statement of Profit and Loss for the year ended 31st March, 2025</t>
  </si>
  <si>
    <t xml:space="preserve"> Note</t>
  </si>
  <si>
    <t>31st March 2025</t>
  </si>
  <si>
    <t>31st March 2024</t>
  </si>
  <si>
    <t>Revenue from operations</t>
  </si>
  <si>
    <t>III</t>
  </si>
  <si>
    <t>Total Income (I+II)</t>
  </si>
  <si>
    <t>IV</t>
  </si>
  <si>
    <t>Expenses:</t>
  </si>
  <si>
    <t>Cost of goods sold</t>
  </si>
  <si>
    <t>Employee benefits expense</t>
  </si>
  <si>
    <t>Finance costs</t>
  </si>
  <si>
    <t>Depreciation and amortization expense</t>
  </si>
  <si>
    <t>Other expenses</t>
  </si>
  <si>
    <t>Total expenses</t>
  </si>
  <si>
    <t>V</t>
  </si>
  <si>
    <t>Profit/(loss) before exceptional and extraordinary items and tax (III- IV)</t>
  </si>
  <si>
    <t>VI</t>
  </si>
  <si>
    <t xml:space="preserve">Exceptional items </t>
  </si>
  <si>
    <t>VII</t>
  </si>
  <si>
    <t>Profit/(loss) before extraordinary items and tax (V-VI)</t>
  </si>
  <si>
    <t>VIII</t>
  </si>
  <si>
    <t>Extraordinary Items</t>
  </si>
  <si>
    <t>IX</t>
  </si>
  <si>
    <t>Profit before tax (VII-VIII)</t>
  </si>
  <si>
    <t>X</t>
  </si>
  <si>
    <t>Tax expense:</t>
  </si>
  <si>
    <t>Current tax</t>
  </si>
  <si>
    <t>Excess/ Short provision of tax relating to earlier years</t>
  </si>
  <si>
    <t>Deferred tax charge/ (benefit)</t>
  </si>
  <si>
    <t>XI</t>
  </si>
  <si>
    <t>Profit/(Loss) for the period from continuing operations (IX-X)</t>
  </si>
  <si>
    <t>XII</t>
  </si>
  <si>
    <t>Profit/(loss) from discontinuing operations</t>
  </si>
  <si>
    <t>XIII</t>
  </si>
  <si>
    <t>Tax expense of discontinuing operations</t>
  </si>
  <si>
    <t>XIV</t>
  </si>
  <si>
    <t>Profit/(loss) from discontinuing operations (after tax) (XII-XIII)</t>
  </si>
  <si>
    <t>XV</t>
  </si>
  <si>
    <t>Profit/(Loss) for the year (XI+XIV)</t>
  </si>
  <si>
    <t>IPPB-363</t>
  </si>
  <si>
    <t>SBI-898</t>
  </si>
  <si>
    <t>SBI A/c - 35940302898</t>
  </si>
  <si>
    <t>India Post Payments Bank A/c - 5510101363</t>
  </si>
  <si>
    <t>Interest on Bajaj Loan</t>
  </si>
  <si>
    <t xml:space="preserve"> Bajaj - PZ10PBL11733786</t>
  </si>
  <si>
    <t>Bank Sale</t>
  </si>
  <si>
    <t>Cash Sale</t>
  </si>
  <si>
    <t>For ISHRAT JAHAN &amp; ASSOCIATES</t>
  </si>
  <si>
    <t>FRN: 042976N</t>
  </si>
  <si>
    <t>CA. Ishrat Jahan</t>
  </si>
  <si>
    <t>Membership No.: 577705</t>
  </si>
  <si>
    <t>UDIN :</t>
  </si>
  <si>
    <t>Date: 22.09.2025</t>
  </si>
  <si>
    <t>Date : 22.09.2025</t>
  </si>
  <si>
    <t>Furniture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</si>
</sst>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quot;₹&quot;\ #,##0.00;[Red]&quot;₹&quot;\ \-#,##0.00"/>
    <numFmt numFmtId="165" formatCode="_ * #,##0.00_ ;_ * \-#,##0.00_ ;_ * &quot;-&quot;??_ ;_ @_ "/>
    <numFmt numFmtId="166" formatCode="_(* #,##0_);_(* \(#,##0\);_(* &quot;-&quot;??_);_(@_)"/>
    <numFmt numFmtId="167" formatCode="#,##0.00;[Red]#,##0.00"/>
    <numFmt numFmtId="168" formatCode="0.0%"/>
    <numFmt numFmtId="169" formatCode="_ * #,##0_ ;_ * \-#,##0_ ;_ * &quot;-&quot;??_ ;_ @_ "/>
  </numFmts>
  <fonts count="45" x14ac:knownFonts="1">
    <font>
      <sz val="11"/>
      <color theme="1"/>
      <name val="Calibri"/>
      <family val="2"/>
      <scheme val="minor"/>
    </font>
    <font>
      <sz val="11"/>
      <color theme="1"/>
      <name val="Calibri"/>
      <family val="2"/>
      <scheme val="minor"/>
    </font>
    <font>
      <sz val="10"/>
      <name val="Arial"/>
      <family val="2"/>
    </font>
    <font>
      <sz val="11"/>
      <color theme="1"/>
      <name val="Times New Roman"/>
      <family val="1"/>
    </font>
    <font>
      <b/>
      <u/>
      <sz val="11"/>
      <color theme="1"/>
      <name val="Times New Roman"/>
      <family val="1"/>
    </font>
    <font>
      <b/>
      <sz val="11"/>
      <color theme="1"/>
      <name val="Times New Roman"/>
      <family val="1"/>
    </font>
    <font>
      <b/>
      <sz val="12"/>
      <color theme="1"/>
      <name val="Times New Roman"/>
      <family val="1"/>
    </font>
    <font>
      <u/>
      <sz val="10"/>
      <color theme="10"/>
      <name val="Arial"/>
      <family val="2"/>
    </font>
    <font>
      <sz val="10"/>
      <name val="Arial"/>
      <family val="2"/>
    </font>
    <font>
      <sz val="11"/>
      <name val="Book Antiqua"/>
      <family val="1"/>
    </font>
    <font>
      <b/>
      <u/>
      <sz val="11"/>
      <name val="Book Antiqua"/>
      <family val="1"/>
    </font>
    <font>
      <b/>
      <u/>
      <sz val="13"/>
      <name val="Book Antiqua"/>
      <family val="1"/>
    </font>
    <font>
      <b/>
      <sz val="11"/>
      <name val="Book Antiqua"/>
      <family val="1"/>
    </font>
    <font>
      <b/>
      <sz val="13"/>
      <name val="Book Antiqua"/>
      <family val="1"/>
    </font>
    <font>
      <b/>
      <u/>
      <sz val="10"/>
      <name val="Book Antiqua"/>
      <family val="1"/>
    </font>
    <font>
      <b/>
      <sz val="10"/>
      <name val="Book Antiqua"/>
      <family val="1"/>
    </font>
    <font>
      <sz val="10"/>
      <name val="Book Antiqua"/>
      <family val="1"/>
    </font>
    <font>
      <sz val="11"/>
      <color theme="1"/>
      <name val="Book Antiqua"/>
      <family val="1"/>
    </font>
    <font>
      <u/>
      <sz val="10"/>
      <color theme="10"/>
      <name val="Book Antiqua"/>
      <family val="1"/>
    </font>
    <font>
      <u/>
      <sz val="10"/>
      <name val="Book Antiqua"/>
      <family val="1"/>
    </font>
    <font>
      <sz val="10"/>
      <color rgb="FFFF0000"/>
      <name val="Book Antiqua"/>
      <family val="1"/>
    </font>
    <font>
      <i/>
      <sz val="10"/>
      <name val="Book Antiqua"/>
      <family val="1"/>
    </font>
    <font>
      <b/>
      <sz val="11"/>
      <color theme="1"/>
      <name val="Book Antiqua"/>
      <family val="1"/>
    </font>
    <font>
      <b/>
      <u/>
      <sz val="11"/>
      <color theme="1"/>
      <name val="Book Antiqua"/>
      <family val="1"/>
    </font>
    <font>
      <i/>
      <sz val="11"/>
      <color theme="1"/>
      <name val="Book Antiqua"/>
      <family val="1"/>
    </font>
    <font>
      <b/>
      <i/>
      <sz val="11"/>
      <color theme="1"/>
      <name val="Book Antiqua"/>
      <family val="1"/>
    </font>
    <font>
      <sz val="10"/>
      <color theme="1"/>
      <name val="Book Antiqua"/>
      <family val="1"/>
    </font>
    <font>
      <b/>
      <u/>
      <sz val="14"/>
      <color theme="1"/>
      <name val="Book Antiqua"/>
      <family val="1"/>
    </font>
    <font>
      <b/>
      <u/>
      <sz val="12"/>
      <color theme="1"/>
      <name val="Book Antiqua"/>
      <family val="1"/>
    </font>
    <font>
      <u/>
      <sz val="11"/>
      <color theme="1"/>
      <name val="Book Antiqua"/>
      <family val="1"/>
    </font>
    <font>
      <b/>
      <sz val="12"/>
      <color theme="1"/>
      <name val="Book Antiqua"/>
      <family val="1"/>
    </font>
    <font>
      <b/>
      <sz val="12"/>
      <name val="Book Antiqua"/>
      <family val="1"/>
    </font>
    <font>
      <sz val="11"/>
      <color indexed="8"/>
      <name val="Calibri"/>
      <family val="2"/>
    </font>
    <font>
      <sz val="12"/>
      <name val="Book Antiqua"/>
      <family val="1"/>
    </font>
    <font>
      <b/>
      <u/>
      <sz val="9"/>
      <color theme="1"/>
      <name val="Book Antiqua"/>
      <family val="1"/>
    </font>
    <font>
      <sz val="10"/>
      <color rgb="FF00B0F0"/>
      <name val="Trebuchet MS"/>
      <family val="2"/>
    </font>
    <font>
      <sz val="9"/>
      <color theme="1"/>
      <name val="Book Antiqua"/>
      <family val="1"/>
    </font>
    <font>
      <b/>
      <u/>
      <sz val="10"/>
      <color theme="1"/>
      <name val="Book Antiqua"/>
      <family val="1"/>
    </font>
    <font>
      <b/>
      <sz val="9"/>
      <color theme="1"/>
      <name val="Book Antiqua"/>
      <family val="1"/>
    </font>
    <font>
      <b/>
      <sz val="9"/>
      <name val="Book Antiqua"/>
      <family val="1"/>
    </font>
    <font>
      <sz val="10"/>
      <color rgb="FF00B0F0"/>
      <name val="Book Antiqua"/>
      <family val="1"/>
    </font>
    <font>
      <b/>
      <sz val="10"/>
      <color theme="1"/>
      <name val="Book Antiqua"/>
      <family val="1"/>
    </font>
    <font>
      <sz val="10"/>
      <color theme="1"/>
      <name val="Trebuchet MS"/>
      <family val="2"/>
    </font>
    <font>
      <sz val="10"/>
      <color theme="1"/>
      <name val="Calibri"/>
      <family val="2"/>
      <scheme val="minor"/>
    </font>
    <font>
      <sz val="11"/>
      <name val="Arial"/>
      <family val="2"/>
    </font>
  </fonts>
  <fills count="6">
    <fill>
      <patternFill patternType="none"/>
    </fill>
    <fill>
      <patternFill patternType="gray125"/>
    </fill>
    <fill>
      <patternFill patternType="solid">
        <fgColor theme="3" tint="0.79998168889431442"/>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14999847407452621"/>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41">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9" fontId="1" fillId="0" borderId="0" applyFont="0" applyFill="0" applyBorder="0" applyAlignment="0" applyProtection="0"/>
    <xf numFmtId="0" fontId="2" fillId="0" borderId="0"/>
    <xf numFmtId="165" fontId="1" fillId="0" borderId="0" applyFont="0" applyFill="0" applyBorder="0" applyAlignment="0" applyProtection="0"/>
    <xf numFmtId="0" fontId="2" fillId="0" borderId="0"/>
    <xf numFmtId="43" fontId="2" fillId="0" borderId="0" applyFont="0" applyFill="0" applyBorder="0" applyAlignment="0" applyProtection="0"/>
    <xf numFmtId="0" fontId="7" fillId="0" borderId="0" applyNumberFormat="0" applyFill="0" applyBorder="0" applyAlignment="0" applyProtection="0"/>
    <xf numFmtId="0" fontId="8" fillId="0" borderId="0"/>
    <xf numFmtId="9"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32" fillId="0" borderId="0" applyNumberFormat="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44" fillId="0" borderId="0"/>
    <xf numFmtId="0" fontId="2" fillId="0" borderId="0"/>
    <xf numFmtId="165" fontId="1" fillId="0" borderId="0" applyFont="0" applyFill="0" applyBorder="0" applyAlignment="0" applyProtection="0"/>
  </cellStyleXfs>
  <cellXfs count="358">
    <xf numFmtId="0" fontId="0" fillId="0" borderId="0" xfId="0"/>
    <xf numFmtId="0" fontId="3" fillId="0" borderId="0" xfId="0" applyFont="1" applyAlignment="1">
      <alignment vertical="center"/>
    </xf>
    <xf numFmtId="0" fontId="5" fillId="0" borderId="1" xfId="0" applyFont="1" applyBorder="1" applyAlignment="1">
      <alignment vertical="center" wrapText="1"/>
    </xf>
    <xf numFmtId="0" fontId="3" fillId="0" borderId="1" xfId="0" applyFont="1" applyBorder="1" applyAlignment="1">
      <alignment vertical="center" wrapText="1"/>
    </xf>
    <xf numFmtId="43" fontId="3" fillId="0" borderId="1" xfId="0" applyNumberFormat="1" applyFont="1" applyBorder="1" applyAlignment="1">
      <alignment vertical="center" wrapText="1"/>
    </xf>
    <xf numFmtId="9" fontId="3" fillId="0" borderId="1" xfId="4" applyFont="1" applyBorder="1" applyAlignment="1">
      <alignment vertical="center" wrapText="1"/>
    </xf>
    <xf numFmtId="43" fontId="5" fillId="0" borderId="1" xfId="0" applyNumberFormat="1" applyFont="1" applyBorder="1" applyAlignment="1">
      <alignment vertical="center" wrapText="1"/>
    </xf>
    <xf numFmtId="0" fontId="3" fillId="0" borderId="0" xfId="0" applyFont="1" applyAlignment="1">
      <alignment vertical="center" wrapText="1"/>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center" vertical="center" wrapText="1"/>
    </xf>
    <xf numFmtId="0" fontId="9" fillId="0" borderId="0" xfId="0" applyFont="1"/>
    <xf numFmtId="0" fontId="9" fillId="0" borderId="0" xfId="0" applyFont="1" applyAlignment="1">
      <alignment horizontal="center"/>
    </xf>
    <xf numFmtId="0" fontId="11" fillId="0" borderId="0" xfId="0" applyFont="1" applyBorder="1" applyAlignment="1">
      <alignment vertical="center"/>
    </xf>
    <xf numFmtId="0" fontId="12" fillId="0" borderId="0" xfId="0" applyFont="1" applyBorder="1"/>
    <xf numFmtId="43" fontId="12" fillId="0" borderId="0" xfId="1" applyFont="1" applyBorder="1" applyAlignment="1">
      <alignment horizontal="right"/>
    </xf>
    <xf numFmtId="0" fontId="13" fillId="0" borderId="0" xfId="0" applyFont="1" applyAlignment="1">
      <alignment horizontal="left" vertical="center"/>
    </xf>
    <xf numFmtId="0" fontId="9" fillId="0" borderId="0" xfId="0" applyFont="1" applyBorder="1" applyAlignment="1">
      <alignment horizontal="left" vertical="top" wrapText="1"/>
    </xf>
    <xf numFmtId="0" fontId="12" fillId="0" borderId="0" xfId="0" applyFont="1" applyAlignment="1">
      <alignment horizontal="left"/>
    </xf>
    <xf numFmtId="0" fontId="9" fillId="0" borderId="0" xfId="0" applyFont="1" applyBorder="1" applyAlignment="1">
      <alignment horizontal="left"/>
    </xf>
    <xf numFmtId="0" fontId="9" fillId="0" borderId="0" xfId="0" applyFont="1" applyBorder="1"/>
    <xf numFmtId="0" fontId="15" fillId="0" borderId="0" xfId="7" applyFont="1" applyBorder="1" applyAlignment="1"/>
    <xf numFmtId="0" fontId="16" fillId="0" borderId="0" xfId="7" applyFont="1" applyBorder="1"/>
    <xf numFmtId="167" fontId="16" fillId="0" borderId="0" xfId="7" applyNumberFormat="1" applyFont="1" applyBorder="1"/>
    <xf numFmtId="43" fontId="17" fillId="0" borderId="0" xfId="8" applyFont="1" applyBorder="1"/>
    <xf numFmtId="0" fontId="18" fillId="0" borderId="0" xfId="9" applyFont="1"/>
    <xf numFmtId="0" fontId="15" fillId="0" borderId="15" xfId="7" applyFont="1" applyBorder="1"/>
    <xf numFmtId="0" fontId="15" fillId="0" borderId="16" xfId="7" applyFont="1" applyBorder="1"/>
    <xf numFmtId="0" fontId="16" fillId="0" borderId="16" xfId="7" applyFont="1" applyBorder="1"/>
    <xf numFmtId="43" fontId="16" fillId="0" borderId="17" xfId="8" applyFont="1" applyBorder="1" applyAlignment="1">
      <alignment horizontal="center" vertical="center"/>
    </xf>
    <xf numFmtId="0" fontId="15" fillId="0" borderId="18" xfId="7" applyFont="1" applyBorder="1"/>
    <xf numFmtId="0" fontId="15" fillId="0" borderId="0" xfId="7" applyFont="1" applyBorder="1"/>
    <xf numFmtId="43" fontId="16" fillId="0" borderId="19" xfId="8" applyFont="1" applyBorder="1" applyAlignment="1">
      <alignment horizontal="center" vertical="center"/>
    </xf>
    <xf numFmtId="0" fontId="15" fillId="0" borderId="20" xfId="7" applyFont="1" applyBorder="1"/>
    <xf numFmtId="0" fontId="16" fillId="0" borderId="21" xfId="7" applyFont="1" applyBorder="1"/>
    <xf numFmtId="0" fontId="15" fillId="0" borderId="21" xfId="7" applyFont="1" applyBorder="1"/>
    <xf numFmtId="14" fontId="16" fillId="0" borderId="21" xfId="7" quotePrefix="1" applyNumberFormat="1" applyFont="1" applyFill="1" applyBorder="1"/>
    <xf numFmtId="167" fontId="15" fillId="0" borderId="21" xfId="7" applyNumberFormat="1" applyFont="1" applyBorder="1"/>
    <xf numFmtId="43" fontId="17" fillId="0" borderId="22" xfId="8" applyFont="1" applyBorder="1" applyAlignment="1">
      <alignment horizontal="center" vertical="center"/>
    </xf>
    <xf numFmtId="0" fontId="14" fillId="0" borderId="0" xfId="7" applyFont="1" applyAlignment="1">
      <alignment horizontal="center" wrapText="1"/>
    </xf>
    <xf numFmtId="43" fontId="14" fillId="0" borderId="0" xfId="8" applyFont="1" applyAlignment="1">
      <alignment horizontal="center" wrapText="1"/>
    </xf>
    <xf numFmtId="14" fontId="16" fillId="0" borderId="0" xfId="7" applyNumberFormat="1" applyFont="1" applyBorder="1"/>
    <xf numFmtId="43" fontId="15" fillId="0" borderId="26" xfId="8" applyFont="1" applyBorder="1" applyAlignment="1">
      <alignment horizontal="center" wrapText="1"/>
    </xf>
    <xf numFmtId="0" fontId="14" fillId="0" borderId="18" xfId="7" applyFont="1" applyBorder="1" applyAlignment="1"/>
    <xf numFmtId="0" fontId="14" fillId="0" borderId="0" xfId="7" applyFont="1" applyBorder="1" applyAlignment="1"/>
    <xf numFmtId="0" fontId="14" fillId="0" borderId="19" xfId="7" applyFont="1" applyBorder="1" applyAlignment="1"/>
    <xf numFmtId="0" fontId="16" fillId="0" borderId="0" xfId="7" applyFont="1"/>
    <xf numFmtId="0" fontId="16" fillId="0" borderId="18" xfId="7" applyFont="1" applyBorder="1"/>
    <xf numFmtId="0" fontId="16" fillId="0" borderId="19" xfId="7" applyFont="1" applyBorder="1"/>
    <xf numFmtId="0" fontId="20" fillId="0" borderId="0" xfId="7" applyFont="1" applyBorder="1"/>
    <xf numFmtId="167" fontId="16" fillId="0" borderId="19" xfId="7" applyNumberFormat="1" applyFont="1" applyBorder="1"/>
    <xf numFmtId="167" fontId="16" fillId="0" borderId="18" xfId="7" applyNumberFormat="1" applyFont="1" applyBorder="1"/>
    <xf numFmtId="43" fontId="16" fillId="0" borderId="0" xfId="8" applyFont="1" applyBorder="1"/>
    <xf numFmtId="0" fontId="21" fillId="0" borderId="18" xfId="7" applyFont="1" applyBorder="1"/>
    <xf numFmtId="0" fontId="15" fillId="0" borderId="18" xfId="7" applyFont="1" applyFill="1" applyBorder="1" applyAlignment="1">
      <alignment vertical="center"/>
    </xf>
    <xf numFmtId="43" fontId="16" fillId="0" borderId="0" xfId="7" applyNumberFormat="1" applyFont="1" applyBorder="1"/>
    <xf numFmtId="167" fontId="15" fillId="0" borderId="0" xfId="7" applyNumberFormat="1" applyFont="1" applyBorder="1"/>
    <xf numFmtId="0" fontId="14" fillId="0" borderId="18" xfId="7" applyFont="1" applyFill="1" applyBorder="1" applyAlignment="1">
      <alignment vertical="center"/>
    </xf>
    <xf numFmtId="167" fontId="16" fillId="0" borderId="0" xfId="7" applyNumberFormat="1" applyFont="1" applyBorder="1" applyAlignment="1">
      <alignment vertical="center"/>
    </xf>
    <xf numFmtId="43" fontId="16" fillId="0" borderId="27" xfId="8" applyFont="1" applyBorder="1" applyAlignment="1">
      <alignment vertical="center"/>
    </xf>
    <xf numFmtId="167" fontId="15" fillId="0" borderId="0" xfId="7" applyNumberFormat="1" applyFont="1" applyBorder="1" applyAlignment="1">
      <alignment vertical="center"/>
    </xf>
    <xf numFmtId="43" fontId="16" fillId="0" borderId="29" xfId="8" applyFont="1" applyBorder="1" applyAlignment="1">
      <alignment vertical="center"/>
    </xf>
    <xf numFmtId="43" fontId="15" fillId="0" borderId="27" xfId="8" applyFont="1" applyBorder="1" applyAlignment="1">
      <alignment vertical="center"/>
    </xf>
    <xf numFmtId="43" fontId="15" fillId="0" borderId="29" xfId="8" applyFont="1" applyBorder="1" applyAlignment="1">
      <alignment vertical="center"/>
    </xf>
    <xf numFmtId="43" fontId="15" fillId="0" borderId="30" xfId="8" applyFont="1" applyBorder="1" applyAlignment="1">
      <alignment vertical="center"/>
    </xf>
    <xf numFmtId="43" fontId="15" fillId="0" borderId="29" xfId="8" applyFont="1" applyBorder="1" applyAlignment="1">
      <alignment horizontal="center" vertical="center"/>
    </xf>
    <xf numFmtId="0" fontId="16" fillId="0" borderId="23" xfId="7" applyFont="1" applyBorder="1"/>
    <xf numFmtId="0" fontId="16" fillId="0" borderId="24" xfId="7" applyFont="1" applyBorder="1"/>
    <xf numFmtId="0" fontId="16" fillId="0" borderId="25" xfId="7" applyFont="1" applyBorder="1"/>
    <xf numFmtId="0" fontId="15" fillId="0" borderId="23" xfId="7" applyFont="1" applyFill="1" applyBorder="1" applyAlignment="1">
      <alignment vertical="center"/>
    </xf>
    <xf numFmtId="167" fontId="16" fillId="0" borderId="24" xfId="7" applyNumberFormat="1" applyFont="1" applyBorder="1" applyAlignment="1">
      <alignment vertical="center"/>
    </xf>
    <xf numFmtId="43" fontId="15" fillId="0" borderId="26" xfId="8" applyFont="1" applyBorder="1" applyAlignment="1">
      <alignment horizontal="center" vertical="center"/>
    </xf>
    <xf numFmtId="0" fontId="14" fillId="0" borderId="0" xfId="7" applyFont="1" applyBorder="1"/>
    <xf numFmtId="43" fontId="15" fillId="0" borderId="0" xfId="7" applyNumberFormat="1" applyFont="1" applyBorder="1"/>
    <xf numFmtId="0" fontId="19" fillId="0" borderId="0" xfId="7" applyFont="1" applyBorder="1"/>
    <xf numFmtId="43" fontId="15" fillId="0" borderId="14" xfId="7" applyNumberFormat="1" applyFont="1" applyBorder="1"/>
    <xf numFmtId="43" fontId="17" fillId="0" borderId="3" xfId="1" applyFont="1" applyFill="1" applyBorder="1" applyAlignment="1"/>
    <xf numFmtId="0" fontId="17" fillId="0" borderId="0" xfId="0" applyFont="1" applyFill="1" applyAlignment="1">
      <alignment vertical="center"/>
    </xf>
    <xf numFmtId="0" fontId="23" fillId="0" borderId="0" xfId="0" applyFont="1" applyFill="1" applyAlignment="1">
      <alignment vertical="center"/>
    </xf>
    <xf numFmtId="0" fontId="22" fillId="0" borderId="1" xfId="0" applyFont="1" applyFill="1" applyBorder="1" applyAlignment="1">
      <alignment horizontal="center" vertical="center"/>
    </xf>
    <xf numFmtId="0" fontId="22" fillId="0" borderId="0" xfId="0" applyFont="1" applyFill="1" applyBorder="1" applyAlignment="1">
      <alignment horizontal="center" vertical="center"/>
    </xf>
    <xf numFmtId="0" fontId="22" fillId="0" borderId="1" xfId="0" applyFont="1" applyFill="1" applyBorder="1" applyAlignment="1">
      <alignment horizontal="center" vertical="center" wrapText="1"/>
    </xf>
    <xf numFmtId="0" fontId="22" fillId="0" borderId="10" xfId="0" applyFont="1" applyFill="1" applyBorder="1" applyAlignment="1">
      <alignment vertical="center"/>
    </xf>
    <xf numFmtId="165" fontId="22" fillId="0" borderId="3" xfId="6" applyFont="1" applyFill="1" applyBorder="1" applyAlignment="1">
      <alignment vertical="center"/>
    </xf>
    <xf numFmtId="165" fontId="22" fillId="0" borderId="3" xfId="6" applyFont="1" applyFill="1" applyBorder="1" applyAlignment="1">
      <alignment horizontal="center" vertical="center"/>
    </xf>
    <xf numFmtId="0" fontId="22" fillId="0" borderId="0" xfId="0" applyFont="1" applyFill="1" applyBorder="1" applyAlignment="1">
      <alignment vertical="center"/>
    </xf>
    <xf numFmtId="0" fontId="17" fillId="0" borderId="10" xfId="0" applyFont="1" applyFill="1" applyBorder="1" applyAlignment="1">
      <alignment vertical="center"/>
    </xf>
    <xf numFmtId="165" fontId="17" fillId="0" borderId="3" xfId="6" applyFont="1" applyFill="1" applyBorder="1" applyAlignment="1">
      <alignment vertical="center"/>
    </xf>
    <xf numFmtId="9" fontId="17" fillId="0" borderId="3" xfId="4" applyFont="1" applyFill="1" applyBorder="1" applyAlignment="1">
      <alignment horizontal="center" vertical="center"/>
    </xf>
    <xf numFmtId="165" fontId="22" fillId="0" borderId="9" xfId="6" applyFont="1" applyFill="1" applyBorder="1" applyAlignment="1">
      <alignment horizontal="center" vertical="center"/>
    </xf>
    <xf numFmtId="165" fontId="22" fillId="0" borderId="1" xfId="6" applyFont="1" applyFill="1" applyBorder="1" applyAlignment="1">
      <alignment horizontal="center" vertical="center"/>
    </xf>
    <xf numFmtId="165" fontId="22" fillId="0" borderId="0" xfId="6" applyFont="1" applyFill="1" applyAlignment="1">
      <alignment horizontal="center" vertical="center"/>
    </xf>
    <xf numFmtId="0" fontId="16" fillId="0" borderId="0" xfId="0" applyFont="1" applyFill="1" applyAlignment="1">
      <alignment horizontal="left" vertical="center"/>
    </xf>
    <xf numFmtId="167" fontId="17" fillId="0" borderId="0" xfId="0" applyNumberFormat="1" applyFont="1" applyFill="1" applyAlignment="1">
      <alignment horizontal="center" vertical="center"/>
    </xf>
    <xf numFmtId="0" fontId="17" fillId="0" borderId="0" xfId="0" applyFont="1" applyFill="1" applyAlignment="1">
      <alignment horizontal="center" vertical="center"/>
    </xf>
    <xf numFmtId="167" fontId="17" fillId="0" borderId="0" xfId="0" applyNumberFormat="1" applyFont="1" applyFill="1" applyAlignment="1">
      <alignment vertical="center"/>
    </xf>
    <xf numFmtId="167" fontId="16" fillId="0" borderId="0" xfId="0" applyNumberFormat="1" applyFont="1" applyFill="1" applyAlignment="1">
      <alignment vertical="center"/>
    </xf>
    <xf numFmtId="0" fontId="14" fillId="0" borderId="0" xfId="0" applyFont="1" applyFill="1" applyBorder="1" applyAlignment="1">
      <alignment horizontal="center" vertical="center"/>
    </xf>
    <xf numFmtId="167" fontId="22" fillId="0" borderId="0" xfId="0" applyNumberFormat="1" applyFont="1" applyFill="1" applyAlignment="1">
      <alignment vertical="center"/>
    </xf>
    <xf numFmtId="0" fontId="15" fillId="0" borderId="0" xfId="0" applyFont="1" applyFill="1" applyAlignment="1">
      <alignment horizontal="left" vertical="center"/>
    </xf>
    <xf numFmtId="0" fontId="22" fillId="0" borderId="0" xfId="0" applyFont="1" applyFill="1" applyAlignment="1">
      <alignment vertical="center"/>
    </xf>
    <xf numFmtId="0" fontId="17" fillId="0" borderId="0" xfId="0" applyFont="1"/>
    <xf numFmtId="0" fontId="17" fillId="0" borderId="0" xfId="0" applyFont="1" applyAlignment="1">
      <alignment horizontal="center"/>
    </xf>
    <xf numFmtId="0" fontId="22" fillId="0" borderId="2" xfId="0" applyFont="1" applyBorder="1"/>
    <xf numFmtId="0" fontId="23" fillId="0" borderId="0" xfId="0" applyFont="1" applyBorder="1"/>
    <xf numFmtId="0" fontId="17" fillId="0" borderId="0" xfId="0" applyFont="1" applyBorder="1"/>
    <xf numFmtId="43" fontId="17" fillId="0" borderId="3" xfId="1" applyFont="1" applyBorder="1" applyAlignment="1">
      <alignment horizontal="center"/>
    </xf>
    <xf numFmtId="43" fontId="17" fillId="0" borderId="3" xfId="1" applyFont="1" applyBorder="1"/>
    <xf numFmtId="0" fontId="22" fillId="0" borderId="0" xfId="0" applyFont="1" applyFill="1" applyBorder="1"/>
    <xf numFmtId="0" fontId="22" fillId="0" borderId="0" xfId="0" applyFont="1" applyBorder="1"/>
    <xf numFmtId="0" fontId="17" fillId="0" borderId="0" xfId="0" applyFont="1" applyFill="1" applyBorder="1"/>
    <xf numFmtId="43" fontId="22" fillId="0" borderId="13" xfId="1" applyFont="1" applyBorder="1"/>
    <xf numFmtId="0" fontId="10" fillId="0" borderId="0" xfId="0" applyFont="1" applyAlignment="1">
      <alignment horizontal="center"/>
    </xf>
    <xf numFmtId="0" fontId="10" fillId="0" borderId="0" xfId="0" applyFont="1" applyAlignment="1">
      <alignment horizontal="left"/>
    </xf>
    <xf numFmtId="0" fontId="9" fillId="0" borderId="0" xfId="0" applyFont="1" applyBorder="1" applyAlignment="1">
      <alignment horizontal="left" vertical="center" wrapText="1"/>
    </xf>
    <xf numFmtId="168" fontId="15" fillId="0" borderId="0" xfId="11" applyNumberFormat="1" applyFont="1" applyBorder="1"/>
    <xf numFmtId="0" fontId="17" fillId="0" borderId="0" xfId="0" applyFont="1" applyFill="1" applyAlignment="1">
      <alignment vertical="center" wrapText="1"/>
    </xf>
    <xf numFmtId="49" fontId="22" fillId="0" borderId="0" xfId="1" applyNumberFormat="1" applyFont="1" applyFill="1" applyBorder="1" applyAlignment="1">
      <alignment horizontal="center" vertical="center"/>
    </xf>
    <xf numFmtId="166" fontId="17" fillId="0" borderId="0" xfId="1" applyNumberFormat="1" applyFont="1" applyFill="1" applyBorder="1" applyAlignment="1">
      <alignment vertical="center"/>
    </xf>
    <xf numFmtId="0" fontId="22" fillId="0" borderId="0" xfId="0" applyFont="1" applyFill="1" applyBorder="1" applyAlignment="1">
      <alignment horizontal="left" vertical="center"/>
    </xf>
    <xf numFmtId="0" fontId="26" fillId="0" borderId="0" xfId="0" applyFont="1" applyFill="1"/>
    <xf numFmtId="0" fontId="22" fillId="0" borderId="0" xfId="0" applyFont="1" applyFill="1" applyAlignment="1">
      <alignment horizontal="right" vertical="center"/>
    </xf>
    <xf numFmtId="49" fontId="22" fillId="0" borderId="0" xfId="0" applyNumberFormat="1" applyFont="1" applyFill="1" applyAlignment="1">
      <alignment horizontal="center" vertical="center"/>
    </xf>
    <xf numFmtId="10" fontId="17" fillId="0" borderId="0" xfId="4" applyNumberFormat="1" applyFont="1" applyFill="1" applyAlignment="1">
      <alignment vertical="center"/>
    </xf>
    <xf numFmtId="0" fontId="22" fillId="0" borderId="2" xfId="0" applyFont="1" applyFill="1" applyBorder="1" applyAlignment="1">
      <alignment vertical="center"/>
    </xf>
    <xf numFmtId="49" fontId="22" fillId="0" borderId="1" xfId="0" applyNumberFormat="1" applyFont="1" applyFill="1" applyBorder="1" applyAlignment="1">
      <alignment horizontal="center" vertical="center"/>
    </xf>
    <xf numFmtId="0" fontId="22" fillId="0" borderId="4" xfId="0" applyFont="1" applyFill="1" applyBorder="1" applyAlignment="1">
      <alignment horizontal="right" vertical="center" wrapText="1"/>
    </xf>
    <xf numFmtId="0" fontId="22" fillId="0" borderId="1" xfId="0" applyFont="1" applyFill="1" applyBorder="1" applyAlignment="1">
      <alignment horizontal="right" vertical="center"/>
    </xf>
    <xf numFmtId="0" fontId="22" fillId="0" borderId="1" xfId="0" applyFont="1" applyFill="1" applyBorder="1" applyAlignment="1">
      <alignment vertical="center"/>
    </xf>
    <xf numFmtId="10" fontId="22" fillId="0" borderId="1" xfId="4" applyNumberFormat="1" applyFont="1" applyFill="1" applyBorder="1" applyAlignment="1">
      <alignment vertical="center"/>
    </xf>
    <xf numFmtId="0" fontId="22" fillId="0" borderId="3" xfId="0" applyFont="1" applyFill="1" applyBorder="1" applyAlignment="1">
      <alignment horizontal="center" vertical="center"/>
    </xf>
    <xf numFmtId="0" fontId="22" fillId="0" borderId="0" xfId="0" applyFont="1" applyFill="1" applyAlignment="1">
      <alignment horizontal="left" vertical="center"/>
    </xf>
    <xf numFmtId="49" fontId="22" fillId="0" borderId="3" xfId="0" applyNumberFormat="1" applyFont="1" applyFill="1" applyBorder="1" applyAlignment="1">
      <alignment horizontal="center" vertical="center"/>
    </xf>
    <xf numFmtId="43" fontId="22" fillId="0" borderId="5" xfId="1" applyFont="1" applyFill="1" applyBorder="1" applyAlignment="1">
      <alignment horizontal="left" vertical="center"/>
    </xf>
    <xf numFmtId="43" fontId="22" fillId="0" borderId="5" xfId="1" applyFont="1" applyFill="1" applyBorder="1" applyAlignment="1">
      <alignment horizontal="right" vertical="center"/>
    </xf>
    <xf numFmtId="0" fontId="22" fillId="0" borderId="3" xfId="0" applyFont="1" applyFill="1" applyBorder="1" applyAlignment="1">
      <alignment horizontal="right" vertical="center"/>
    </xf>
    <xf numFmtId="0" fontId="17" fillId="0" borderId="12" xfId="0" applyFont="1" applyFill="1" applyBorder="1" applyAlignment="1">
      <alignment vertical="center"/>
    </xf>
    <xf numFmtId="10" fontId="17" fillId="0" borderId="13" xfId="4" applyNumberFormat="1" applyFont="1" applyFill="1" applyBorder="1" applyAlignment="1">
      <alignment vertical="center"/>
    </xf>
    <xf numFmtId="43" fontId="22" fillId="0" borderId="0" xfId="1" applyFont="1" applyFill="1" applyBorder="1" applyAlignment="1">
      <alignment vertical="center"/>
    </xf>
    <xf numFmtId="49" fontId="22" fillId="0" borderId="3" xfId="1" applyNumberFormat="1" applyFont="1" applyFill="1" applyBorder="1" applyAlignment="1">
      <alignment horizontal="center" vertical="center"/>
    </xf>
    <xf numFmtId="43" fontId="17" fillId="0" borderId="5" xfId="1" applyFont="1" applyFill="1" applyBorder="1" applyAlignment="1">
      <alignment horizontal="center" vertical="center"/>
    </xf>
    <xf numFmtId="43" fontId="23" fillId="0" borderId="5" xfId="1" applyFont="1" applyFill="1" applyBorder="1" applyAlignment="1">
      <alignment vertical="center"/>
    </xf>
    <xf numFmtId="43" fontId="17" fillId="0" borderId="3" xfId="1" applyFont="1" applyFill="1" applyBorder="1" applyAlignment="1">
      <alignment horizontal="center" vertical="center"/>
    </xf>
    <xf numFmtId="10" fontId="17" fillId="0" borderId="3" xfId="4" applyNumberFormat="1" applyFont="1" applyFill="1" applyBorder="1" applyAlignment="1">
      <alignment vertical="center"/>
    </xf>
    <xf numFmtId="43" fontId="17" fillId="0" borderId="0" xfId="1" applyFont="1" applyFill="1" applyBorder="1" applyAlignment="1">
      <alignment horizontal="left" vertical="center"/>
    </xf>
    <xf numFmtId="43" fontId="24" fillId="0" borderId="5" xfId="1" applyFont="1" applyFill="1" applyBorder="1" applyAlignment="1"/>
    <xf numFmtId="43" fontId="24" fillId="0" borderId="3" xfId="1" applyFont="1" applyFill="1" applyBorder="1" applyAlignment="1">
      <alignment vertical="center" wrapText="1"/>
    </xf>
    <xf numFmtId="43" fontId="17" fillId="0" borderId="10" xfId="0" applyNumberFormat="1" applyFont="1" applyFill="1" applyBorder="1" applyAlignment="1">
      <alignment vertical="center"/>
    </xf>
    <xf numFmtId="10" fontId="17" fillId="0" borderId="3" xfId="4" applyNumberFormat="1" applyFont="1" applyFill="1" applyBorder="1" applyAlignment="1">
      <alignment horizontal="center" vertical="center"/>
    </xf>
    <xf numFmtId="166" fontId="22" fillId="0" borderId="3" xfId="1" applyNumberFormat="1" applyFont="1" applyFill="1" applyBorder="1" applyAlignment="1">
      <alignment horizontal="center" vertical="center"/>
    </xf>
    <xf numFmtId="43" fontId="25" fillId="0" borderId="4" xfId="1" applyFont="1" applyFill="1" applyBorder="1" applyAlignment="1">
      <alignment vertical="center"/>
    </xf>
    <xf numFmtId="43" fontId="24" fillId="0" borderId="4" xfId="1" applyFont="1" applyFill="1" applyBorder="1" applyAlignment="1">
      <alignment vertical="center"/>
    </xf>
    <xf numFmtId="43" fontId="22" fillId="0" borderId="0" xfId="1" applyFont="1" applyFill="1" applyBorder="1" applyAlignment="1">
      <alignment horizontal="left" vertical="center"/>
    </xf>
    <xf numFmtId="43" fontId="24" fillId="0" borderId="5" xfId="1" applyFont="1" applyFill="1" applyBorder="1" applyAlignment="1">
      <alignment vertical="center"/>
    </xf>
    <xf numFmtId="43" fontId="24" fillId="0" borderId="3" xfId="1" applyFont="1" applyFill="1" applyBorder="1" applyAlignment="1">
      <alignment vertical="center"/>
    </xf>
    <xf numFmtId="43" fontId="17" fillId="0" borderId="0" xfId="1" applyFont="1" applyFill="1" applyBorder="1" applyAlignment="1">
      <alignment horizontal="left" vertical="center" indent="2"/>
    </xf>
    <xf numFmtId="43" fontId="17" fillId="0" borderId="4" xfId="1" applyFont="1" applyFill="1" applyBorder="1" applyAlignment="1">
      <alignment vertical="center"/>
    </xf>
    <xf numFmtId="43" fontId="17" fillId="0" borderId="5" xfId="1" applyFont="1" applyFill="1" applyBorder="1" applyAlignment="1">
      <alignment vertical="center"/>
    </xf>
    <xf numFmtId="43" fontId="17" fillId="0" borderId="3" xfId="1" applyFont="1" applyFill="1" applyBorder="1" applyAlignment="1">
      <alignment vertical="center"/>
    </xf>
    <xf numFmtId="43" fontId="17" fillId="0" borderId="0" xfId="1" applyFont="1" applyFill="1" applyBorder="1" applyAlignment="1">
      <alignment horizontal="left" vertical="center" wrapText="1"/>
    </xf>
    <xf numFmtId="43" fontId="24" fillId="0" borderId="0" xfId="1" applyFont="1" applyFill="1" applyBorder="1" applyAlignment="1">
      <alignment horizontal="left" vertical="center"/>
    </xf>
    <xf numFmtId="43" fontId="22" fillId="0" borderId="8" xfId="1" applyFont="1" applyFill="1" applyBorder="1" applyAlignment="1">
      <alignment vertical="center"/>
    </xf>
    <xf numFmtId="166" fontId="17" fillId="0" borderId="5" xfId="1" applyNumberFormat="1" applyFont="1" applyFill="1" applyBorder="1" applyAlignment="1">
      <alignment vertical="center"/>
    </xf>
    <xf numFmtId="49" fontId="22" fillId="0" borderId="10" xfId="1" applyNumberFormat="1" applyFont="1" applyFill="1" applyBorder="1" applyAlignment="1">
      <alignment horizontal="center" vertical="center"/>
    </xf>
    <xf numFmtId="49" fontId="23" fillId="0" borderId="3" xfId="1" applyNumberFormat="1" applyFont="1" applyFill="1" applyBorder="1" applyAlignment="1">
      <alignment horizontal="center" vertical="center"/>
    </xf>
    <xf numFmtId="49" fontId="22" fillId="0" borderId="7" xfId="1" applyNumberFormat="1" applyFont="1" applyFill="1" applyBorder="1" applyAlignment="1">
      <alignment horizontal="center" vertical="center"/>
    </xf>
    <xf numFmtId="43" fontId="22" fillId="0" borderId="6" xfId="1" applyFont="1" applyFill="1" applyBorder="1" applyAlignment="1">
      <alignment vertical="center"/>
    </xf>
    <xf numFmtId="43" fontId="17" fillId="0" borderId="11" xfId="0" applyNumberFormat="1" applyFont="1" applyFill="1" applyBorder="1" applyAlignment="1">
      <alignment vertical="center"/>
    </xf>
    <xf numFmtId="10" fontId="17" fillId="0" borderId="7" xfId="4" applyNumberFormat="1" applyFont="1" applyFill="1" applyBorder="1" applyAlignment="1">
      <alignment horizontal="center" vertical="center"/>
    </xf>
    <xf numFmtId="0" fontId="17" fillId="0" borderId="0" xfId="0" applyFont="1" applyFill="1" applyBorder="1" applyAlignment="1">
      <alignment vertical="center"/>
    </xf>
    <xf numFmtId="43" fontId="22" fillId="0" borderId="0" xfId="1" applyFont="1" applyFill="1" applyBorder="1" applyAlignment="1">
      <alignment horizontal="right" vertical="center"/>
    </xf>
    <xf numFmtId="43" fontId="17" fillId="0" borderId="0" xfId="1" applyFont="1" applyFill="1" applyBorder="1" applyAlignment="1">
      <alignment vertical="center"/>
    </xf>
    <xf numFmtId="0" fontId="12" fillId="0" borderId="18" xfId="7" applyFont="1" applyBorder="1" applyAlignment="1">
      <alignment horizontal="center" wrapText="1"/>
    </xf>
    <xf numFmtId="0" fontId="12" fillId="0" borderId="0" xfId="7" applyFont="1" applyBorder="1" applyAlignment="1">
      <alignment horizontal="center" wrapText="1"/>
    </xf>
    <xf numFmtId="0" fontId="12" fillId="0" borderId="19" xfId="7" applyFont="1" applyBorder="1" applyAlignment="1">
      <alignment horizontal="center" wrapText="1"/>
    </xf>
    <xf numFmtId="0" fontId="15" fillId="0" borderId="18" xfId="7" applyFont="1" applyBorder="1" applyAlignment="1">
      <alignment horizontal="center" wrapText="1"/>
    </xf>
    <xf numFmtId="0" fontId="15" fillId="0" borderId="0" xfId="7" applyFont="1" applyBorder="1" applyAlignment="1">
      <alignment horizontal="center" wrapText="1"/>
    </xf>
    <xf numFmtId="43" fontId="15" fillId="0" borderId="27" xfId="8" applyFont="1" applyBorder="1" applyAlignment="1">
      <alignment horizontal="center" wrapText="1"/>
    </xf>
    <xf numFmtId="43" fontId="14" fillId="0" borderId="27" xfId="1" applyFont="1" applyBorder="1" applyAlignment="1"/>
    <xf numFmtId="43" fontId="16" fillId="0" borderId="27" xfId="1" applyFont="1" applyBorder="1"/>
    <xf numFmtId="43" fontId="17" fillId="0" borderId="27" xfId="1" applyFont="1" applyBorder="1"/>
    <xf numFmtId="43" fontId="15" fillId="0" borderId="28" xfId="1" applyFont="1" applyBorder="1" applyAlignment="1">
      <alignment vertical="center"/>
    </xf>
    <xf numFmtId="43" fontId="22" fillId="0" borderId="1" xfId="1" applyFont="1" applyFill="1" applyBorder="1" applyAlignment="1">
      <alignment vertical="center"/>
    </xf>
    <xf numFmtId="43" fontId="22" fillId="2" borderId="4" xfId="1" applyFont="1" applyFill="1" applyBorder="1" applyAlignment="1">
      <alignment vertical="center"/>
    </xf>
    <xf numFmtId="43" fontId="24" fillId="2" borderId="4" xfId="1" applyFont="1" applyFill="1" applyBorder="1" applyAlignment="1">
      <alignment vertical="center"/>
    </xf>
    <xf numFmtId="0" fontId="23" fillId="0" borderId="0" xfId="0" applyFont="1" applyAlignment="1">
      <alignment horizontal="center"/>
    </xf>
    <xf numFmtId="0" fontId="22" fillId="0" borderId="0" xfId="0" applyFont="1" applyAlignment="1">
      <alignment horizontal="left"/>
    </xf>
    <xf numFmtId="0" fontId="17" fillId="0" borderId="0" xfId="0" applyFont="1" applyAlignment="1">
      <alignment horizontal="left"/>
    </xf>
    <xf numFmtId="43" fontId="24" fillId="0" borderId="0" xfId="1" applyFont="1" applyAlignment="1">
      <alignment horizontal="center"/>
    </xf>
    <xf numFmtId="164" fontId="24" fillId="0" borderId="0" xfId="0" applyNumberFormat="1" applyFont="1"/>
    <xf numFmtId="0" fontId="29" fillId="0" borderId="0" xfId="0" applyFont="1" applyAlignment="1">
      <alignment horizontal="center"/>
    </xf>
    <xf numFmtId="0" fontId="0" fillId="3" borderId="1" xfId="0" applyFill="1" applyBorder="1" applyAlignment="1">
      <alignment horizontal="center"/>
    </xf>
    <xf numFmtId="0" fontId="0" fillId="3" borderId="1" xfId="0" applyFill="1" applyBorder="1" applyAlignment="1">
      <alignment horizontal="left"/>
    </xf>
    <xf numFmtId="0" fontId="0" fillId="0" borderId="1" xfId="0" applyBorder="1" applyAlignment="1">
      <alignment horizontal="center"/>
    </xf>
    <xf numFmtId="0" fontId="0" fillId="0" borderId="1" xfId="0" applyBorder="1" applyAlignment="1">
      <alignment horizontal="left"/>
    </xf>
    <xf numFmtId="164" fontId="0" fillId="0" borderId="1" xfId="6" applyNumberFormat="1" applyFont="1" applyBorder="1"/>
    <xf numFmtId="164" fontId="0" fillId="0" borderId="1" xfId="0" applyNumberFormat="1" applyBorder="1"/>
    <xf numFmtId="164" fontId="17" fillId="0" borderId="1" xfId="0" applyNumberFormat="1" applyFont="1" applyBorder="1"/>
    <xf numFmtId="0" fontId="17" fillId="0" borderId="1" xfId="0" applyFont="1" applyBorder="1"/>
    <xf numFmtId="0" fontId="16" fillId="0" borderId="16" xfId="7" applyFont="1" applyFill="1" applyBorder="1"/>
    <xf numFmtId="0" fontId="16" fillId="0" borderId="0" xfId="7" quotePrefix="1" applyFont="1" applyFill="1" applyBorder="1"/>
    <xf numFmtId="0" fontId="15" fillId="0" borderId="0" xfId="7" applyFont="1" applyBorder="1" applyAlignment="1">
      <alignment horizontal="right" vertical="center"/>
    </xf>
    <xf numFmtId="49" fontId="30" fillId="0" borderId="0" xfId="1" applyNumberFormat="1" applyFont="1" applyFill="1" applyBorder="1" applyAlignment="1">
      <alignment horizontal="center" vertical="center"/>
    </xf>
    <xf numFmtId="166" fontId="30" fillId="0" borderId="0" xfId="1" applyNumberFormat="1" applyFont="1" applyFill="1" applyBorder="1" applyAlignment="1">
      <alignment vertical="center"/>
    </xf>
    <xf numFmtId="0" fontId="31" fillId="0" borderId="0" xfId="7" applyFont="1" applyBorder="1" applyAlignment="1">
      <alignment horizontal="left" vertical="top"/>
    </xf>
    <xf numFmtId="0" fontId="27" fillId="0" borderId="0" xfId="0" applyFont="1" applyFill="1" applyAlignment="1">
      <alignment horizontal="center" vertical="center"/>
    </xf>
    <xf numFmtId="0" fontId="22" fillId="0" borderId="0" xfId="0" applyFont="1" applyFill="1" applyAlignment="1">
      <alignment horizontal="center" vertical="center"/>
    </xf>
    <xf numFmtId="0" fontId="22" fillId="0" borderId="10" xfId="0" applyFont="1" applyFill="1" applyBorder="1" applyAlignment="1">
      <alignment horizontal="center" vertical="center"/>
    </xf>
    <xf numFmtId="43" fontId="17" fillId="0" borderId="0" xfId="1" applyFont="1" applyFill="1" applyAlignment="1">
      <alignment vertical="center"/>
    </xf>
    <xf numFmtId="0" fontId="26" fillId="0" borderId="0" xfId="0" quotePrefix="1" applyFont="1"/>
    <xf numFmtId="0" fontId="26" fillId="0" borderId="21" xfId="0" quotePrefix="1" applyFont="1" applyBorder="1"/>
    <xf numFmtId="43" fontId="17" fillId="0" borderId="3" xfId="1" applyFont="1" applyFill="1" applyBorder="1" applyAlignment="1">
      <alignment horizontal="left" vertical="center"/>
    </xf>
    <xf numFmtId="43" fontId="24" fillId="0" borderId="7" xfId="1" applyFont="1" applyFill="1" applyBorder="1" applyAlignment="1">
      <alignment horizontal="left" vertical="center" indent="2"/>
    </xf>
    <xf numFmtId="43" fontId="17" fillId="0" borderId="3" xfId="1" applyFont="1" applyBorder="1" applyAlignment="1"/>
    <xf numFmtId="0" fontId="17" fillId="0" borderId="3" xfId="0" applyFont="1" applyBorder="1" applyAlignment="1">
      <alignment horizontal="center"/>
    </xf>
    <xf numFmtId="0" fontId="17" fillId="0" borderId="7" xfId="0" applyFont="1" applyBorder="1" applyAlignment="1">
      <alignment horizontal="center"/>
    </xf>
    <xf numFmtId="43" fontId="22" fillId="0" borderId="3" xfId="1" applyFont="1" applyBorder="1"/>
    <xf numFmtId="43" fontId="17" fillId="0" borderId="3" xfId="1" applyFont="1" applyBorder="1" applyAlignment="1">
      <alignment horizontal="right"/>
    </xf>
    <xf numFmtId="43" fontId="17" fillId="0" borderId="10" xfId="1" applyFont="1" applyBorder="1"/>
    <xf numFmtId="43" fontId="17" fillId="0" borderId="7" xfId="1" applyFont="1" applyBorder="1"/>
    <xf numFmtId="43" fontId="22" fillId="0" borderId="1" xfId="1" applyFont="1" applyBorder="1" applyAlignment="1">
      <alignment horizontal="center"/>
    </xf>
    <xf numFmtId="43" fontId="17" fillId="0" borderId="0" xfId="1" applyFont="1"/>
    <xf numFmtId="10" fontId="22" fillId="0" borderId="3" xfId="4" applyNumberFormat="1" applyFont="1" applyBorder="1"/>
    <xf numFmtId="43" fontId="22" fillId="0" borderId="12" xfId="1" applyFont="1" applyBorder="1"/>
    <xf numFmtId="43" fontId="17" fillId="0" borderId="11" xfId="1" applyFont="1" applyBorder="1"/>
    <xf numFmtId="43" fontId="22" fillId="0" borderId="9" xfId="1" applyFont="1" applyBorder="1" applyAlignment="1">
      <alignment horizontal="center"/>
    </xf>
    <xf numFmtId="43" fontId="17" fillId="0" borderId="10" xfId="1" applyFont="1" applyBorder="1" applyAlignment="1">
      <alignment horizontal="center"/>
    </xf>
    <xf numFmtId="0" fontId="23" fillId="0" borderId="0" xfId="0" applyFont="1" applyFill="1" applyBorder="1"/>
    <xf numFmtId="0" fontId="22" fillId="0" borderId="1" xfId="0" applyNumberFormat="1" applyFont="1" applyBorder="1" applyAlignment="1">
      <alignment horizontal="center" vertical="center"/>
    </xf>
    <xf numFmtId="0" fontId="22" fillId="0" borderId="3" xfId="0" applyNumberFormat="1" applyFont="1" applyBorder="1" applyAlignment="1">
      <alignment horizontal="center" vertical="center"/>
    </xf>
    <xf numFmtId="0" fontId="17" fillId="0" borderId="3" xfId="0" applyNumberFormat="1" applyFont="1" applyBorder="1" applyAlignment="1">
      <alignment horizontal="center" vertical="center"/>
    </xf>
    <xf numFmtId="0" fontId="22" fillId="0" borderId="10" xfId="0" applyNumberFormat="1" applyFont="1" applyBorder="1" applyAlignment="1">
      <alignment horizontal="center" vertical="center"/>
    </xf>
    <xf numFmtId="0" fontId="17" fillId="0" borderId="10" xfId="0" applyNumberFormat="1" applyFont="1" applyBorder="1" applyAlignment="1">
      <alignment horizontal="center" vertical="center"/>
    </xf>
    <xf numFmtId="0" fontId="17" fillId="0" borderId="3" xfId="0" quotePrefix="1" applyNumberFormat="1" applyFont="1" applyBorder="1" applyAlignment="1">
      <alignment horizontal="center" vertical="center"/>
    </xf>
    <xf numFmtId="0" fontId="17" fillId="0" borderId="3" xfId="1" applyNumberFormat="1" applyFont="1" applyBorder="1" applyAlignment="1">
      <alignment horizontal="center" vertical="center"/>
    </xf>
    <xf numFmtId="0" fontId="17" fillId="0" borderId="10" xfId="1" applyNumberFormat="1" applyFont="1" applyBorder="1" applyAlignment="1">
      <alignment horizontal="center" vertical="center"/>
    </xf>
    <xf numFmtId="0" fontId="17" fillId="0" borderId="0" xfId="0" applyNumberFormat="1" applyFont="1" applyAlignment="1">
      <alignment horizontal="center" vertical="center"/>
    </xf>
    <xf numFmtId="0" fontId="23" fillId="0" borderId="0" xfId="0" applyFont="1" applyFill="1" applyAlignment="1">
      <alignment vertical="center" wrapText="1"/>
    </xf>
    <xf numFmtId="0" fontId="22" fillId="4" borderId="0" xfId="0" applyFont="1" applyFill="1" applyBorder="1"/>
    <xf numFmtId="0" fontId="22" fillId="4" borderId="3" xfId="0" applyNumberFormat="1" applyFont="1" applyFill="1" applyBorder="1" applyAlignment="1">
      <alignment horizontal="center" vertical="center"/>
    </xf>
    <xf numFmtId="43" fontId="22" fillId="4" borderId="7" xfId="1" applyFont="1" applyFill="1" applyBorder="1"/>
    <xf numFmtId="43" fontId="22" fillId="4" borderId="1" xfId="1" applyFont="1" applyFill="1" applyBorder="1"/>
    <xf numFmtId="0" fontId="22" fillId="4" borderId="3" xfId="1" applyNumberFormat="1" applyFont="1" applyFill="1" applyBorder="1" applyAlignment="1">
      <alignment horizontal="center" vertical="center"/>
    </xf>
    <xf numFmtId="43" fontId="22" fillId="4" borderId="13" xfId="1" applyFont="1" applyFill="1" applyBorder="1"/>
    <xf numFmtId="0" fontId="22" fillId="4" borderId="10" xfId="0" applyNumberFormat="1" applyFont="1" applyFill="1" applyBorder="1" applyAlignment="1">
      <alignment horizontal="center" vertical="center"/>
    </xf>
    <xf numFmtId="43" fontId="17" fillId="4" borderId="1" xfId="1" applyFont="1" applyFill="1" applyBorder="1"/>
    <xf numFmtId="0" fontId="17" fillId="4" borderId="31" xfId="0" applyFont="1" applyFill="1" applyBorder="1"/>
    <xf numFmtId="0" fontId="17" fillId="4" borderId="7" xfId="0" applyNumberFormat="1" applyFont="1" applyFill="1" applyBorder="1" applyAlignment="1">
      <alignment horizontal="center" vertical="center"/>
    </xf>
    <xf numFmtId="0" fontId="17" fillId="0" borderId="12" xfId="0" applyFont="1" applyBorder="1" applyAlignment="1">
      <alignment horizontal="center"/>
    </xf>
    <xf numFmtId="0" fontId="17" fillId="0" borderId="13" xfId="0" applyFont="1" applyBorder="1" applyAlignment="1">
      <alignment horizontal="center"/>
    </xf>
    <xf numFmtId="0" fontId="17" fillId="0" borderId="10" xfId="0" applyFont="1" applyBorder="1" applyAlignment="1">
      <alignment horizontal="center"/>
    </xf>
    <xf numFmtId="0" fontId="17" fillId="0" borderId="11" xfId="0" applyFont="1" applyBorder="1" applyAlignment="1">
      <alignment horizontal="center"/>
    </xf>
    <xf numFmtId="0" fontId="22" fillId="0" borderId="3" xfId="0" applyNumberFormat="1" applyFont="1" applyFill="1" applyBorder="1" applyAlignment="1">
      <alignment horizontal="center" vertical="center"/>
    </xf>
    <xf numFmtId="43" fontId="22" fillId="0" borderId="3" xfId="1" applyFont="1" applyFill="1" applyBorder="1"/>
    <xf numFmtId="0" fontId="22" fillId="5" borderId="0" xfId="0" applyFont="1" applyFill="1" applyBorder="1"/>
    <xf numFmtId="0" fontId="22" fillId="5" borderId="3" xfId="0" applyNumberFormat="1" applyFont="1" applyFill="1" applyBorder="1" applyAlignment="1">
      <alignment horizontal="center" vertical="center"/>
    </xf>
    <xf numFmtId="43" fontId="22" fillId="5" borderId="1" xfId="1" applyFont="1" applyFill="1" applyBorder="1"/>
    <xf numFmtId="43" fontId="17" fillId="0" borderId="0" xfId="0" applyNumberFormat="1" applyFont="1"/>
    <xf numFmtId="43" fontId="17" fillId="0" borderId="1" xfId="1" applyFont="1" applyBorder="1"/>
    <xf numFmtId="0" fontId="33" fillId="0" borderId="0" xfId="7" applyFont="1" applyBorder="1" applyAlignment="1">
      <alignment horizontal="left" vertical="top"/>
    </xf>
    <xf numFmtId="43" fontId="22" fillId="0" borderId="1" xfId="1" applyFont="1" applyBorder="1"/>
    <xf numFmtId="0" fontId="22" fillId="0" borderId="1" xfId="0" applyFont="1" applyBorder="1"/>
    <xf numFmtId="0" fontId="35" fillId="0" borderId="0" xfId="0" applyFont="1" applyFill="1" applyAlignment="1">
      <alignment wrapText="1"/>
    </xf>
    <xf numFmtId="0" fontId="35" fillId="0" borderId="0" xfId="0" applyFont="1" applyFill="1" applyAlignment="1"/>
    <xf numFmtId="0" fontId="37" fillId="0" borderId="0" xfId="0" applyFont="1" applyFill="1" applyBorder="1" applyAlignment="1">
      <alignment horizontal="left" vertical="center"/>
    </xf>
    <xf numFmtId="0" fontId="37" fillId="0" borderId="0" xfId="0" applyFont="1" applyFill="1" applyBorder="1" applyAlignment="1">
      <alignment horizontal="center" vertical="center"/>
    </xf>
    <xf numFmtId="0" fontId="0" fillId="0" borderId="0" xfId="0" applyBorder="1"/>
    <xf numFmtId="0" fontId="36" fillId="0" borderId="1" xfId="0" applyFont="1" applyFill="1" applyBorder="1"/>
    <xf numFmtId="0" fontId="38" fillId="0" borderId="1" xfId="0" applyFont="1" applyFill="1" applyBorder="1"/>
    <xf numFmtId="169" fontId="39" fillId="0" borderId="1" xfId="3" applyNumberFormat="1" applyFont="1" applyFill="1" applyBorder="1" applyAlignment="1">
      <alignment horizontal="center" wrapText="1"/>
    </xf>
    <xf numFmtId="0" fontId="38" fillId="0" borderId="4" xfId="0" applyFont="1" applyFill="1" applyBorder="1" applyAlignment="1">
      <alignment horizontal="right" vertical="center" wrapText="1"/>
    </xf>
    <xf numFmtId="0" fontId="40" fillId="0" borderId="0" xfId="0" applyFont="1" applyFill="1" applyAlignment="1"/>
    <xf numFmtId="0" fontId="36" fillId="0" borderId="3" xfId="0" applyFont="1" applyFill="1" applyBorder="1"/>
    <xf numFmtId="0" fontId="36" fillId="0" borderId="3" xfId="0" applyFont="1" applyFill="1" applyBorder="1" applyAlignment="1">
      <alignment wrapText="1"/>
    </xf>
    <xf numFmtId="0" fontId="36" fillId="0" borderId="3" xfId="0" applyFont="1" applyFill="1" applyBorder="1" applyAlignment="1">
      <alignment horizontal="center"/>
    </xf>
    <xf numFmtId="169" fontId="36" fillId="0" borderId="3" xfId="6" applyNumberFormat="1" applyFont="1" applyFill="1" applyBorder="1"/>
    <xf numFmtId="169" fontId="36" fillId="0" borderId="5" xfId="6" applyNumberFormat="1" applyFont="1" applyFill="1" applyBorder="1"/>
    <xf numFmtId="0" fontId="38" fillId="0" borderId="3" xfId="0" applyFont="1" applyFill="1" applyBorder="1"/>
    <xf numFmtId="0" fontId="39" fillId="0" borderId="3" xfId="0" applyFont="1" applyFill="1" applyBorder="1" applyAlignment="1">
      <alignment wrapText="1"/>
    </xf>
    <xf numFmtId="169" fontId="36" fillId="0" borderId="1" xfId="6" applyNumberFormat="1" applyFont="1" applyFill="1" applyBorder="1"/>
    <xf numFmtId="169" fontId="36" fillId="0" borderId="4" xfId="6" applyNumberFormat="1" applyFont="1" applyFill="1" applyBorder="1"/>
    <xf numFmtId="0" fontId="34" fillId="0" borderId="3" xfId="0" applyFont="1" applyFill="1" applyBorder="1" applyAlignment="1">
      <alignment wrapText="1"/>
    </xf>
    <xf numFmtId="0" fontId="38" fillId="0" borderId="3" xfId="0" applyFont="1" applyFill="1" applyBorder="1" applyAlignment="1">
      <alignment wrapText="1"/>
    </xf>
    <xf numFmtId="169" fontId="38" fillId="0" borderId="1" xfId="6" applyNumberFormat="1" applyFont="1" applyFill="1" applyBorder="1"/>
    <xf numFmtId="169" fontId="38" fillId="0" borderId="4" xfId="6" applyNumberFormat="1" applyFont="1" applyFill="1" applyBorder="1"/>
    <xf numFmtId="0" fontId="38" fillId="0" borderId="3" xfId="0" applyFont="1" applyFill="1" applyBorder="1" applyAlignment="1">
      <alignment horizontal="left" wrapText="1"/>
    </xf>
    <xf numFmtId="169" fontId="36" fillId="0" borderId="13" xfId="6" applyNumberFormat="1" applyFont="1" applyFill="1" applyBorder="1"/>
    <xf numFmtId="169" fontId="36" fillId="0" borderId="33" xfId="6" applyNumberFormat="1" applyFont="1" applyFill="1" applyBorder="1"/>
    <xf numFmtId="0" fontId="38" fillId="0" borderId="3" xfId="0" applyFont="1" applyFill="1" applyBorder="1" applyAlignment="1">
      <alignment vertical="top" wrapText="1"/>
    </xf>
    <xf numFmtId="0" fontId="38" fillId="0" borderId="7" xfId="0" applyFont="1" applyFill="1" applyBorder="1"/>
    <xf numFmtId="0" fontId="38" fillId="0" borderId="7" xfId="0" applyFont="1" applyFill="1" applyBorder="1" applyAlignment="1">
      <alignment wrapText="1"/>
    </xf>
    <xf numFmtId="0" fontId="36" fillId="0" borderId="7" xfId="0" applyFont="1" applyFill="1" applyBorder="1" applyAlignment="1">
      <alignment horizontal="center"/>
    </xf>
    <xf numFmtId="169" fontId="36" fillId="0" borderId="6" xfId="6" applyNumberFormat="1" applyFont="1" applyFill="1" applyBorder="1"/>
    <xf numFmtId="169" fontId="36" fillId="0" borderId="8" xfId="6" applyNumberFormat="1" applyFont="1" applyFill="1" applyBorder="1"/>
    <xf numFmtId="0" fontId="26" fillId="0" borderId="0" xfId="0" applyFont="1" applyFill="1" applyAlignment="1">
      <alignment horizontal="center"/>
    </xf>
    <xf numFmtId="0" fontId="16" fillId="0" borderId="0" xfId="25" applyFont="1" applyFill="1" applyAlignment="1">
      <alignment horizontal="left" vertical="center"/>
    </xf>
    <xf numFmtId="0" fontId="15" fillId="0" borderId="0" xfId="2" applyFont="1" applyFill="1"/>
    <xf numFmtId="0" fontId="26" fillId="0" borderId="0" xfId="0" applyFont="1" applyFill="1" applyAlignment="1">
      <alignment vertical="center"/>
    </xf>
    <xf numFmtId="43" fontId="26" fillId="0" borderId="0" xfId="1" applyFont="1" applyFill="1" applyBorder="1" applyAlignment="1">
      <alignment vertical="center"/>
    </xf>
    <xf numFmtId="0" fontId="26" fillId="0" borderId="0" xfId="1" applyNumberFormat="1" applyFont="1" applyFill="1" applyBorder="1" applyAlignment="1">
      <alignment horizontal="left" vertical="center"/>
    </xf>
    <xf numFmtId="0" fontId="16" fillId="0" borderId="0" xfId="2" applyFont="1" applyFill="1"/>
    <xf numFmtId="0" fontId="16" fillId="0" borderId="0" xfId="7" applyNumberFormat="1" applyFont="1" applyBorder="1" applyAlignment="1">
      <alignment horizontal="left" vertical="top"/>
    </xf>
    <xf numFmtId="0" fontId="26" fillId="0" borderId="0" xfId="1" applyNumberFormat="1" applyFont="1" applyFill="1" applyBorder="1" applyAlignment="1">
      <alignment vertical="center"/>
    </xf>
    <xf numFmtId="167" fontId="16" fillId="0" borderId="0" xfId="2" applyNumberFormat="1" applyFont="1" applyFill="1" applyAlignment="1">
      <alignment vertical="center"/>
    </xf>
    <xf numFmtId="0" fontId="16" fillId="0" borderId="0" xfId="2" applyFont="1" applyFill="1" applyAlignment="1">
      <alignment vertical="center"/>
    </xf>
    <xf numFmtId="165" fontId="41" fillId="0" borderId="0" xfId="6" applyFont="1" applyFill="1" applyBorder="1" applyAlignment="1">
      <alignment vertical="center"/>
    </xf>
    <xf numFmtId="0" fontId="42" fillId="0" borderId="0" xfId="0" applyFont="1" applyFill="1" applyAlignment="1">
      <alignment horizontal="center"/>
    </xf>
    <xf numFmtId="0" fontId="42" fillId="0" borderId="0" xfId="0" applyFont="1" applyFill="1"/>
    <xf numFmtId="0" fontId="43" fillId="0" borderId="0" xfId="0" applyFont="1"/>
    <xf numFmtId="43" fontId="16" fillId="0" borderId="0" xfId="25" applyNumberFormat="1" applyFont="1" applyFill="1" applyAlignment="1">
      <alignment horizontal="left" vertical="center"/>
    </xf>
    <xf numFmtId="0" fontId="17" fillId="0" borderId="3" xfId="0" applyNumberFormat="1" applyFont="1" applyFill="1" applyBorder="1" applyAlignment="1">
      <alignment horizontal="center" vertical="center"/>
    </xf>
    <xf numFmtId="43" fontId="17" fillId="0" borderId="3" xfId="1" applyFont="1" applyFill="1" applyBorder="1"/>
    <xf numFmtId="43" fontId="17" fillId="0" borderId="0" xfId="1" applyFont="1" applyFill="1"/>
    <xf numFmtId="0" fontId="17" fillId="0" borderId="0" xfId="0" applyFont="1" applyFill="1"/>
    <xf numFmtId="0" fontId="17" fillId="0" borderId="31" xfId="0" applyFont="1" applyFill="1" applyBorder="1"/>
    <xf numFmtId="0" fontId="17" fillId="0" borderId="7" xfId="0" applyNumberFormat="1" applyFont="1" applyFill="1" applyBorder="1" applyAlignment="1">
      <alignment horizontal="center" vertical="center"/>
    </xf>
    <xf numFmtId="43" fontId="22" fillId="0" borderId="1" xfId="1" applyFont="1" applyFill="1" applyBorder="1"/>
    <xf numFmtId="0" fontId="23" fillId="0" borderId="32" xfId="0" applyFont="1" applyFill="1" applyBorder="1"/>
    <xf numFmtId="0" fontId="17" fillId="0" borderId="13" xfId="0" applyNumberFormat="1" applyFont="1" applyFill="1" applyBorder="1" applyAlignment="1">
      <alignment horizontal="center" vertical="center"/>
    </xf>
    <xf numFmtId="43" fontId="17" fillId="0" borderId="13" xfId="1" applyFont="1" applyFill="1" applyBorder="1"/>
    <xf numFmtId="43" fontId="17" fillId="0" borderId="1" xfId="1" applyFont="1" applyFill="1" applyBorder="1"/>
    <xf numFmtId="43" fontId="17" fillId="0" borderId="0" xfId="0" applyNumberFormat="1" applyFont="1" applyFill="1"/>
    <xf numFmtId="0" fontId="14" fillId="0" borderId="0" xfId="7" quotePrefix="1" applyFont="1" applyBorder="1" applyAlignment="1">
      <alignment horizontal="center"/>
    </xf>
    <xf numFmtId="0" fontId="14" fillId="0" borderId="0" xfId="7" applyFont="1" applyBorder="1" applyAlignment="1">
      <alignment horizontal="center"/>
    </xf>
    <xf numFmtId="0" fontId="12" fillId="0" borderId="23" xfId="7" applyFont="1" applyBorder="1" applyAlignment="1">
      <alignment horizontal="center" wrapText="1"/>
    </xf>
    <xf numFmtId="0" fontId="12" fillId="0" borderId="24" xfId="7" applyFont="1" applyBorder="1" applyAlignment="1">
      <alignment horizontal="center" wrapText="1"/>
    </xf>
    <xf numFmtId="0" fontId="12" fillId="0" borderId="25" xfId="7" applyFont="1" applyBorder="1" applyAlignment="1">
      <alignment horizontal="center" wrapText="1"/>
    </xf>
    <xf numFmtId="0" fontId="15" fillId="0" borderId="23" xfId="7" applyFont="1" applyBorder="1" applyAlignment="1">
      <alignment horizontal="center" wrapText="1"/>
    </xf>
    <xf numFmtId="0" fontId="15" fillId="0" borderId="24" xfId="7" applyFont="1" applyBorder="1" applyAlignment="1">
      <alignment horizontal="center" wrapText="1"/>
    </xf>
    <xf numFmtId="0" fontId="19" fillId="0" borderId="0" xfId="7" applyFont="1" applyAlignment="1">
      <alignment horizontal="center" wrapText="1"/>
    </xf>
    <xf numFmtId="0" fontId="16" fillId="0" borderId="0" xfId="7" applyFont="1" applyAlignment="1"/>
    <xf numFmtId="0" fontId="23" fillId="0" borderId="0" xfId="0" applyFont="1" applyFill="1" applyAlignment="1">
      <alignment horizontal="center" vertical="center"/>
    </xf>
    <xf numFmtId="0" fontId="17" fillId="0" borderId="0" xfId="0" applyFont="1" applyFill="1" applyAlignment="1">
      <alignment horizontal="center" vertical="center"/>
    </xf>
    <xf numFmtId="43" fontId="22" fillId="0" borderId="9" xfId="1" applyFont="1" applyFill="1" applyBorder="1" applyAlignment="1">
      <alignment horizontal="right" vertical="center"/>
    </xf>
    <xf numFmtId="43" fontId="22" fillId="0" borderId="4" xfId="1" applyFont="1" applyFill="1" applyBorder="1" applyAlignment="1">
      <alignment horizontal="right" vertical="center"/>
    </xf>
    <xf numFmtId="0" fontId="34" fillId="0" borderId="0" xfId="0" applyFont="1" applyFill="1" applyAlignment="1">
      <alignment horizontal="center" vertical="center"/>
    </xf>
    <xf numFmtId="0" fontId="28" fillId="0" borderId="0" xfId="0" applyFont="1" applyFill="1" applyAlignment="1">
      <alignment horizontal="center" vertical="center"/>
    </xf>
    <xf numFmtId="0" fontId="22" fillId="0" borderId="13" xfId="0" applyFont="1" applyFill="1" applyBorder="1" applyAlignment="1">
      <alignment horizontal="center" vertical="center" wrapText="1"/>
    </xf>
    <xf numFmtId="0" fontId="22" fillId="0" borderId="7" xfId="0" applyFont="1" applyFill="1" applyBorder="1" applyAlignment="1">
      <alignment horizontal="center" vertical="center" wrapText="1"/>
    </xf>
    <xf numFmtId="0" fontId="22" fillId="0" borderId="12" xfId="0" applyFont="1" applyFill="1" applyBorder="1" applyAlignment="1">
      <alignment horizontal="center" vertical="center"/>
    </xf>
    <xf numFmtId="0" fontId="22" fillId="0" borderId="10" xfId="0" applyFont="1" applyFill="1" applyBorder="1" applyAlignment="1">
      <alignment horizontal="center" vertical="center"/>
    </xf>
    <xf numFmtId="0" fontId="22" fillId="0" borderId="11"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2" xfId="0" applyFont="1" applyFill="1" applyBorder="1" applyAlignment="1">
      <alignment horizontal="center" vertical="center"/>
    </xf>
    <xf numFmtId="0" fontId="22" fillId="0" borderId="4" xfId="0" applyFont="1" applyFill="1" applyBorder="1" applyAlignment="1">
      <alignment horizontal="center" vertical="center"/>
    </xf>
    <xf numFmtId="0" fontId="22" fillId="0" borderId="3"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0" fontId="23" fillId="0" borderId="0" xfId="0" applyFont="1" applyAlignment="1">
      <alignment horizontal="center"/>
    </xf>
    <xf numFmtId="0" fontId="17" fillId="0" borderId="0" xfId="0" applyFont="1" applyAlignment="1">
      <alignment horizontal="center"/>
    </xf>
    <xf numFmtId="0" fontId="22" fillId="0" borderId="9" xfId="0" applyFont="1" applyBorder="1" applyAlignment="1">
      <alignment horizontal="center"/>
    </xf>
    <xf numFmtId="0" fontId="22" fillId="0" borderId="4" xfId="0" applyFont="1" applyBorder="1" applyAlignment="1">
      <alignment horizontal="center"/>
    </xf>
    <xf numFmtId="0" fontId="10" fillId="0" borderId="0" xfId="0" applyFont="1" applyAlignment="1">
      <alignment horizontal="center"/>
    </xf>
    <xf numFmtId="0" fontId="9" fillId="0" borderId="1" xfId="0" applyFont="1" applyBorder="1" applyAlignment="1">
      <alignment horizontal="left" vertical="top" wrapText="1"/>
    </xf>
    <xf numFmtId="0" fontId="9" fillId="0" borderId="1" xfId="0" applyFont="1" applyBorder="1" applyAlignment="1">
      <alignment horizontal="left" vertical="center" wrapText="1"/>
    </xf>
    <xf numFmtId="0" fontId="17" fillId="0" borderId="1" xfId="0" applyFont="1" applyBorder="1" applyAlignment="1">
      <alignment horizontal="center"/>
    </xf>
  </cellXfs>
  <cellStyles count="41">
    <cellStyle name="Comma" xfId="1" builtinId="3"/>
    <cellStyle name="Comma 13" xfId="16"/>
    <cellStyle name="Comma 13 2" xfId="32"/>
    <cellStyle name="Comma 2" xfId="3"/>
    <cellStyle name="Comma 2 2" xfId="17"/>
    <cellStyle name="Comma 2 2 2" xfId="18"/>
    <cellStyle name="Comma 2 2 2 2" xfId="33"/>
    <cellStyle name="Comma 3" xfId="6"/>
    <cellStyle name="Comma 3 2" xfId="19"/>
    <cellStyle name="Comma 3 2 2" xfId="34"/>
    <cellStyle name="Comma 3 3" xfId="35"/>
    <cellStyle name="Comma 4" xfId="8"/>
    <cellStyle name="Comma 4 2" xfId="20"/>
    <cellStyle name="Comma 4 2 2" xfId="36"/>
    <cellStyle name="Comma 4 3" xfId="37"/>
    <cellStyle name="Comma 5" xfId="40"/>
    <cellStyle name="Currency 2" xfId="12"/>
    <cellStyle name="Currency 2 2" xfId="21"/>
    <cellStyle name="Hyperlink" xfId="9" builtinId="8"/>
    <cellStyle name="Normal" xfId="0" builtinId="0"/>
    <cellStyle name="Normal 2" xfId="2"/>
    <cellStyle name="Normal 2 10" xfId="5"/>
    <cellStyle name="Normal 2 2" xfId="7"/>
    <cellStyle name="Normal 2 2 2" xfId="22"/>
    <cellStyle name="Normal 2 3" xfId="38"/>
    <cellStyle name="Normal 3" xfId="10"/>
    <cellStyle name="Normal 3 2" xfId="23"/>
    <cellStyle name="Normal 4" xfId="24"/>
    <cellStyle name="Normal 4 3" xfId="25"/>
    <cellStyle name="Normal 5" xfId="26"/>
    <cellStyle name="Normal 6" xfId="39"/>
    <cellStyle name="Percent" xfId="4" builtinId="5"/>
    <cellStyle name="Percent 2" xfId="11"/>
    <cellStyle name="Percent 2 2" xfId="13"/>
    <cellStyle name="Percent 2 2 2" xfId="27"/>
    <cellStyle name="Percent 2 3" xfId="28"/>
    <cellStyle name="Percent 3" xfId="14"/>
    <cellStyle name="Percent 3 2" xfId="29"/>
    <cellStyle name="Percent 4" xfId="15"/>
    <cellStyle name="Percent 4 2" xfId="30"/>
    <cellStyle name="Percent 5" xfId="31"/>
  </cellStyles>
  <dxfs count="1">
    <dxf>
      <font>
        <color rgb="FF9C0006"/>
      </font>
      <fill>
        <patternFill>
          <bgColor rgb="FFFFC7CE"/>
        </patternFill>
      </fill>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c7\e\Raaz\Om\Debajit%20Saikia\Debajit%20Saiki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c4\NET%20DOWNLOADS\Vascon%20CC%205.8.09\CMA%20BLANK.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3\f\Client\OPTSOE\2006\Client\MLS\2006\TDS%20REturns\eTDSRPUForm26Q_ver3.22%20-EGPL%20Q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orkingData/DATA/INCOME%20TAX%20FILES/IT%20FILES/SURUJ%20ALI%20(%20IT-379%20)/AY%202025-2026/SURUJ%20ALI_31.03.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 56 (2)"/>
      <sheetName val="Master "/>
      <sheetName val="lacking"/>
      <sheetName val="Saral 56"/>
      <sheetName val="Comp 56"/>
      <sheetName val="Saral"/>
      <sheetName val="Compu"/>
      <sheetName val="IE &amp; BS"/>
      <sheetName val="Investment"/>
      <sheetName val="Insur"/>
      <sheetName val="Bank "/>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ments"/>
      <sheetName val="Calculations"/>
      <sheetName val="BF_1"/>
      <sheetName val="Form-II"/>
      <sheetName val="Form-III"/>
      <sheetName val="Form-IV"/>
      <sheetName val="Form-V"/>
      <sheetName val="Form-VI"/>
      <sheetName val="ABF"/>
      <sheetName val="Ratios"/>
      <sheetName val="Check"/>
      <sheetName val="Term Loan"/>
      <sheetName val="CMAcode"/>
    </sheetNames>
    <sheetDataSet>
      <sheetData sheetId="0"/>
      <sheetData sheetId="1"/>
      <sheetData sheetId="2">
        <row r="1">
          <cell r="DR1" t="str">
            <v>||</v>
          </cell>
          <cell r="DZ1">
            <v>0</v>
          </cell>
          <cell r="EI1" t="str">
            <v>||</v>
          </cell>
          <cell r="EY1">
            <v>0</v>
          </cell>
        </row>
        <row r="2">
          <cell r="DR2" t="str">
            <v>||</v>
          </cell>
          <cell r="EI2" t="str">
            <v>||</v>
          </cell>
        </row>
        <row r="3">
          <cell r="DR3" t="str">
            <v>||</v>
          </cell>
          <cell r="EI3" t="str">
            <v>||</v>
          </cell>
          <cell r="EV3" t="str">
            <v>SELECTED RATIOS</v>
          </cell>
          <cell r="EZ3" t="str">
            <v xml:space="preserve">RATIO ANALYSIS - Workings </v>
          </cell>
        </row>
        <row r="4">
          <cell r="DR4" t="str">
            <v>||</v>
          </cell>
          <cell r="DV4" t="str">
            <v>KOSONS FOREST PRODUCTS PVT LTD</v>
          </cell>
          <cell r="EI4" t="str">
            <v>||</v>
          </cell>
          <cell r="EV4" t="str">
            <v>DURING OPTIMUM CAPACITY UTILISATION i.e III YEAR</v>
          </cell>
        </row>
        <row r="5">
          <cell r="DO5" t="str">
            <v>(Rs. in Lacs)</v>
          </cell>
          <cell r="DR5" t="str">
            <v>||</v>
          </cell>
          <cell r="EF5" t="str">
            <v>[Rs. In Lakhs]</v>
          </cell>
          <cell r="EI5" t="str">
            <v>||</v>
          </cell>
          <cell r="EV5" t="str">
            <v>Debt : Equity</v>
          </cell>
          <cell r="EW5">
            <v>1.3039787108732521</v>
          </cell>
          <cell r="EX5" t="str">
            <v>:</v>
          </cell>
          <cell r="EY5" t="str">
            <v>1</v>
          </cell>
          <cell r="EZ5">
            <v>0</v>
          </cell>
        </row>
        <row r="6">
          <cell r="DR6" t="str">
            <v>||</v>
          </cell>
          <cell r="DT6">
            <v>0</v>
          </cell>
          <cell r="DU6">
            <v>0</v>
          </cell>
          <cell r="DV6" t="str">
            <v>PROJECTED BALANCE SHEET FOR FUTURE PERIOD</v>
          </cell>
          <cell r="EI6" t="str">
            <v>||</v>
          </cell>
          <cell r="EV6" t="str">
            <v>Investment to Turnover Ratio</v>
          </cell>
          <cell r="EW6">
            <v>0.5784115774679619</v>
          </cell>
          <cell r="EX6">
            <v>0</v>
          </cell>
          <cell r="EZ6" t="str">
            <v>=</v>
          </cell>
        </row>
        <row r="7">
          <cell r="DR7" t="str">
            <v>||</v>
          </cell>
          <cell r="DT7">
            <v>0</v>
          </cell>
          <cell r="DU7">
            <v>0</v>
          </cell>
          <cell r="DV7" t="str">
            <v>Particulars</v>
          </cell>
          <cell r="DW7" t="str">
            <v>Construction</v>
          </cell>
          <cell r="DX7" t="str">
            <v>I</v>
          </cell>
          <cell r="DY7" t="str">
            <v>II</v>
          </cell>
          <cell r="DZ7" t="str">
            <v>III</v>
          </cell>
          <cell r="EA7" t="str">
            <v>IV</v>
          </cell>
          <cell r="EB7" t="str">
            <v>V</v>
          </cell>
          <cell r="EC7" t="str">
            <v>VI</v>
          </cell>
          <cell r="ED7" t="str">
            <v>VII</v>
          </cell>
          <cell r="EE7" t="str">
            <v>VIII</v>
          </cell>
          <cell r="EF7" t="str">
            <v>IX</v>
          </cell>
          <cell r="EG7" t="str">
            <v>X</v>
          </cell>
          <cell r="EI7" t="str">
            <v>||</v>
          </cell>
          <cell r="EV7" t="str">
            <v>Turnover : Profit After Tax</v>
          </cell>
          <cell r="EW7" t="str">
            <v>1</v>
          </cell>
          <cell r="EX7" t="str">
            <v>:</v>
          </cell>
          <cell r="EY7">
            <v>0.11091318131004252</v>
          </cell>
          <cell r="EZ7" t="str">
            <v>=</v>
          </cell>
        </row>
        <row r="8">
          <cell r="DM8" t="str">
            <v>VII</v>
          </cell>
          <cell r="DN8" t="str">
            <v>VIII</v>
          </cell>
          <cell r="DO8" t="str">
            <v>IX</v>
          </cell>
          <cell r="DP8" t="str">
            <v>X</v>
          </cell>
          <cell r="DR8" t="str">
            <v>||</v>
          </cell>
          <cell r="DT8">
            <v>0</v>
          </cell>
          <cell r="DU8">
            <v>0</v>
          </cell>
          <cell r="DV8">
            <v>0</v>
          </cell>
          <cell r="DW8" t="str">
            <v>Period</v>
          </cell>
          <cell r="DX8">
            <v>0</v>
          </cell>
          <cell r="DY8">
            <v>0</v>
          </cell>
          <cell r="DZ8">
            <v>0</v>
          </cell>
          <cell r="EA8">
            <v>0</v>
          </cell>
          <cell r="EB8">
            <v>0</v>
          </cell>
          <cell r="EC8">
            <v>0</v>
          </cell>
          <cell r="ED8">
            <v>0</v>
          </cell>
          <cell r="EE8">
            <v>0</v>
          </cell>
          <cell r="EF8">
            <v>0</v>
          </cell>
          <cell r="EG8">
            <v>0</v>
          </cell>
          <cell r="EI8" t="str">
            <v>||</v>
          </cell>
          <cell r="EV8" t="str">
            <v>Internal Rate Of Return [on total project cost]</v>
          </cell>
          <cell r="EW8">
            <v>4.4279148929196051E-2</v>
          </cell>
          <cell r="EZ8" t="str">
            <v>=</v>
          </cell>
        </row>
        <row r="9">
          <cell r="DR9" t="str">
            <v>||</v>
          </cell>
          <cell r="DV9" t="str">
            <v>LIABILITIES</v>
          </cell>
          <cell r="EI9" t="str">
            <v>||</v>
          </cell>
          <cell r="EV9" t="str">
            <v xml:space="preserve">Pay Back Period </v>
          </cell>
          <cell r="EW9" t="str">
            <v>1 year 8 months</v>
          </cell>
        </row>
        <row r="10">
          <cell r="DR10" t="str">
            <v>||</v>
          </cell>
          <cell r="DV10" t="str">
            <v>SHAREHOLDERS' FUNDS</v>
          </cell>
          <cell r="EI10" t="str">
            <v>||</v>
          </cell>
          <cell r="EV10" t="str">
            <v>Average DSCR</v>
          </cell>
          <cell r="EW10">
            <v>3.9862669572128211</v>
          </cell>
        </row>
        <row r="11">
          <cell r="DR11" t="str">
            <v>||</v>
          </cell>
          <cell r="DT11">
            <v>0</v>
          </cell>
          <cell r="DV11" t="str">
            <v>Equity</v>
          </cell>
          <cell r="DW11">
            <v>115</v>
          </cell>
          <cell r="DX11">
            <v>115</v>
          </cell>
          <cell r="DY11">
            <v>115</v>
          </cell>
          <cell r="DZ11">
            <v>115</v>
          </cell>
          <cell r="EA11">
            <v>115</v>
          </cell>
          <cell r="EB11">
            <v>115</v>
          </cell>
          <cell r="EC11">
            <v>115</v>
          </cell>
          <cell r="ED11">
            <v>115</v>
          </cell>
          <cell r="EE11">
            <v>115</v>
          </cell>
          <cell r="EF11">
            <v>115</v>
          </cell>
          <cell r="EG11">
            <v>115</v>
          </cell>
          <cell r="EI11" t="str">
            <v>||</v>
          </cell>
          <cell r="EV11" t="str">
            <v>Average EPS</v>
          </cell>
          <cell r="EW11">
            <v>1.2513907077778232</v>
          </cell>
          <cell r="EZ11" t="str">
            <v>=</v>
          </cell>
        </row>
        <row r="12">
          <cell r="DM12">
            <v>72.140798698580682</v>
          </cell>
          <cell r="DN12">
            <v>67.110798698580709</v>
          </cell>
          <cell r="DO12">
            <v>59.650798698580729</v>
          </cell>
          <cell r="DP12">
            <v>50.500798698580724</v>
          </cell>
          <cell r="DR12" t="str">
            <v>||</v>
          </cell>
          <cell r="DV12" t="str">
            <v>Reserve &amp; Surplus</v>
          </cell>
          <cell r="DW12">
            <v>-78.987250000000003</v>
          </cell>
          <cell r="DX12">
            <v>-153.02124209079506</v>
          </cell>
          <cell r="DY12">
            <v>-149.39176902836897</v>
          </cell>
          <cell r="DZ12">
            <v>-109.17335679405018</v>
          </cell>
          <cell r="EA12">
            <v>-65.321942015223186</v>
          </cell>
          <cell r="EB12">
            <v>-20.309303316642556</v>
          </cell>
          <cell r="EC12">
            <v>37.123335381938155</v>
          </cell>
          <cell r="ED12">
            <v>94.805974080518837</v>
          </cell>
          <cell r="EE12">
            <v>150.28861277909954</v>
          </cell>
          <cell r="EF12">
            <v>198.99125147768027</v>
          </cell>
          <cell r="EG12">
            <v>238.66389017626099</v>
          </cell>
          <cell r="EI12" t="str">
            <v>||</v>
          </cell>
          <cell r="EV12" t="str">
            <v>Break Even Point</v>
          </cell>
          <cell r="EZ12" t="str">
            <v>=</v>
          </cell>
        </row>
        <row r="13">
          <cell r="DM13">
            <v>29.599999999999998</v>
          </cell>
          <cell r="DN13">
            <v>25.659999999999997</v>
          </cell>
          <cell r="DO13">
            <v>22.25</v>
          </cell>
          <cell r="DP13">
            <v>19.28</v>
          </cell>
          <cell r="DR13" t="str">
            <v>||</v>
          </cell>
          <cell r="EI13" t="str">
            <v>||</v>
          </cell>
          <cell r="EV13" t="str">
            <v xml:space="preserve">   - At Operating Capacity</v>
          </cell>
          <cell r="EW13">
            <v>0.67808380325434148</v>
          </cell>
          <cell r="EZ13" t="str">
            <v>=</v>
          </cell>
        </row>
        <row r="14">
          <cell r="DM14">
            <v>0</v>
          </cell>
          <cell r="DN14">
            <v>0</v>
          </cell>
          <cell r="DO14">
            <v>0</v>
          </cell>
          <cell r="DP14">
            <v>0</v>
          </cell>
          <cell r="DR14" t="str">
            <v>||</v>
          </cell>
          <cell r="DV14" t="str">
            <v>Grant from NEC</v>
          </cell>
          <cell r="DW14">
            <v>50</v>
          </cell>
          <cell r="DX14">
            <v>50</v>
          </cell>
          <cell r="DY14">
            <v>50</v>
          </cell>
          <cell r="DZ14">
            <v>50</v>
          </cell>
          <cell r="EA14">
            <v>50</v>
          </cell>
          <cell r="EB14">
            <v>50</v>
          </cell>
          <cell r="EC14">
            <v>50</v>
          </cell>
          <cell r="ED14">
            <v>50</v>
          </cell>
          <cell r="EE14">
            <v>50</v>
          </cell>
          <cell r="EF14">
            <v>50</v>
          </cell>
          <cell r="EG14">
            <v>50</v>
          </cell>
          <cell r="EI14" t="str">
            <v>||</v>
          </cell>
          <cell r="EV14" t="str">
            <v xml:space="preserve">   - At Installed Capacity</v>
          </cell>
          <cell r="EW14">
            <v>0.67808380325434148</v>
          </cell>
        </row>
        <row r="15">
          <cell r="DR15" t="str">
            <v>||</v>
          </cell>
          <cell r="DV15" t="str">
            <v>Unsecured Loan</v>
          </cell>
          <cell r="DW15">
            <v>88.838499999999996</v>
          </cell>
          <cell r="DX15">
            <v>88.838499999999996</v>
          </cell>
          <cell r="DY15">
            <v>88.838499999999996</v>
          </cell>
          <cell r="DZ15">
            <v>88.838499999999996</v>
          </cell>
          <cell r="EA15">
            <v>88.838499999999996</v>
          </cell>
          <cell r="EB15">
            <v>88.838499999999996</v>
          </cell>
          <cell r="EC15">
            <v>88.838499999999996</v>
          </cell>
          <cell r="ED15">
            <v>88.838499999999996</v>
          </cell>
          <cell r="EE15">
            <v>88.838499999999996</v>
          </cell>
          <cell r="EF15">
            <v>88.838499999999996</v>
          </cell>
          <cell r="EG15">
            <v>88.838499999999996</v>
          </cell>
          <cell r="EI15" t="str">
            <v>||</v>
          </cell>
          <cell r="EV15" t="str">
            <v xml:space="preserve">   - Cash BEP at Installed  Capacity</v>
          </cell>
          <cell r="EW15">
            <v>0.42144702926159155</v>
          </cell>
        </row>
        <row r="16">
          <cell r="DR16" t="str">
            <v>||</v>
          </cell>
          <cell r="DV16" t="str">
            <v>LOAN FUNDS</v>
          </cell>
          <cell r="EI16" t="str">
            <v>||</v>
          </cell>
          <cell r="EV16" t="str">
            <v>Gross Profit Margin Ratio</v>
          </cell>
          <cell r="EW16">
            <v>0.31636206574645492</v>
          </cell>
          <cell r="EZ16" t="str">
            <v>=</v>
          </cell>
        </row>
        <row r="17">
          <cell r="DR17" t="str">
            <v>||</v>
          </cell>
          <cell r="DV17" t="str">
            <v>Term Loan</v>
          </cell>
          <cell r="DW17">
            <v>334.43606999999997</v>
          </cell>
          <cell r="DX17">
            <v>330.27271999999999</v>
          </cell>
          <cell r="DY17">
            <v>328.09087999999997</v>
          </cell>
          <cell r="DZ17">
            <v>325.90903999999995</v>
          </cell>
          <cell r="EA17">
            <v>315.12719999999996</v>
          </cell>
          <cell r="EB17">
            <v>297.92719999999997</v>
          </cell>
          <cell r="EC17">
            <v>274.24535999999995</v>
          </cell>
          <cell r="ED17">
            <v>246.26351999999994</v>
          </cell>
          <cell r="EE17">
            <v>231.18167999999994</v>
          </cell>
          <cell r="EF17">
            <v>230.09075999999993</v>
          </cell>
          <cell r="EG17">
            <v>230.09075999999993</v>
          </cell>
          <cell r="EI17" t="str">
            <v>||</v>
          </cell>
          <cell r="EV17" t="str">
            <v>Operating Profit Margin Ratio</v>
          </cell>
          <cell r="EW17">
            <v>0.11091318131004252</v>
          </cell>
        </row>
        <row r="18">
          <cell r="DR18" t="str">
            <v>||</v>
          </cell>
          <cell r="DV18" t="str">
            <v>Short Term Bank borrowing</v>
          </cell>
          <cell r="DW18">
            <v>35.198779999999999</v>
          </cell>
          <cell r="DX18">
            <v>36.130000000000003</v>
          </cell>
          <cell r="DY18">
            <v>62.34</v>
          </cell>
          <cell r="DZ18">
            <v>96.11</v>
          </cell>
          <cell r="EA18">
            <v>103.09</v>
          </cell>
          <cell r="EB18">
            <v>103.09</v>
          </cell>
          <cell r="EC18">
            <v>103.09</v>
          </cell>
          <cell r="ED18">
            <v>103.09</v>
          </cell>
          <cell r="EE18">
            <v>103.09</v>
          </cell>
          <cell r="EF18">
            <v>103.09</v>
          </cell>
          <cell r="EG18">
            <v>103.09</v>
          </cell>
          <cell r="EI18" t="str">
            <v>||</v>
          </cell>
          <cell r="EV18" t="str">
            <v>Interest Coverage Ratio</v>
          </cell>
          <cell r="EW18">
            <v>4.8041928548155521</v>
          </cell>
          <cell r="EZ18" t="str">
            <v>=</v>
          </cell>
        </row>
        <row r="19">
          <cell r="DM19">
            <v>101.72079869858068</v>
          </cell>
          <cell r="DN19">
            <v>92.490798698580704</v>
          </cell>
          <cell r="DO19">
            <v>81.900798698580729</v>
          </cell>
          <cell r="DP19">
            <v>69.780798698580725</v>
          </cell>
          <cell r="DV19" t="str">
            <v>[For Working Capital]</v>
          </cell>
          <cell r="EI19" t="str">
            <v>||</v>
          </cell>
          <cell r="EV19" t="str">
            <v>Return on Investment</v>
          </cell>
          <cell r="EW19">
            <v>0.10950823038501208</v>
          </cell>
        </row>
        <row r="20">
          <cell r="DR20" t="str">
            <v>||</v>
          </cell>
          <cell r="DV20" t="str">
            <v>TOTAL of all Liabilities</v>
          </cell>
          <cell r="DW20">
            <v>544.48609999999996</v>
          </cell>
          <cell r="DX20">
            <v>467.21997790920494</v>
          </cell>
          <cell r="DY20">
            <v>494.87761097163104</v>
          </cell>
          <cell r="DZ20">
            <v>566.68418320594981</v>
          </cell>
          <cell r="EA20">
            <v>606.73375798477673</v>
          </cell>
          <cell r="EB20">
            <v>634.54639668335744</v>
          </cell>
          <cell r="EC20">
            <v>668.2971953819382</v>
          </cell>
          <cell r="ED20">
            <v>697.99799408051877</v>
          </cell>
          <cell r="EE20">
            <v>738.39879277909949</v>
          </cell>
          <cell r="EF20">
            <v>786.01051147768032</v>
          </cell>
          <cell r="EG20">
            <v>825.68315017626094</v>
          </cell>
          <cell r="EH20">
            <v>0</v>
          </cell>
          <cell r="EI20" t="str">
            <v>||</v>
          </cell>
          <cell r="EV20" t="str">
            <v>Profit after Tax to Capital Employed</v>
          </cell>
          <cell r="EW20">
            <v>0.121236316351745</v>
          </cell>
        </row>
        <row r="21">
          <cell r="DR21" t="str">
            <v>||</v>
          </cell>
          <cell r="DV21" t="str">
            <v>ASSETS</v>
          </cell>
          <cell r="EI21" t="str">
            <v>||</v>
          </cell>
          <cell r="EZ21" t="str">
            <v>=</v>
          </cell>
        </row>
        <row r="22">
          <cell r="DR22" t="str">
            <v>||</v>
          </cell>
          <cell r="DV22" t="str">
            <v>Gross Fixed Assets</v>
          </cell>
          <cell r="DW22">
            <v>603.63719000000003</v>
          </cell>
          <cell r="DX22">
            <v>603.63719000000003</v>
          </cell>
          <cell r="DY22">
            <v>603.63719000000003</v>
          </cell>
          <cell r="DZ22">
            <v>603.63719000000003</v>
          </cell>
          <cell r="EA22">
            <v>603.63719000000003</v>
          </cell>
          <cell r="EB22">
            <v>603.63719000000003</v>
          </cell>
          <cell r="EC22">
            <v>603.63719000000003</v>
          </cell>
          <cell r="ED22">
            <v>603.63719000000003</v>
          </cell>
          <cell r="EE22">
            <v>603.63719000000003</v>
          </cell>
          <cell r="EF22">
            <v>603.63719000000003</v>
          </cell>
          <cell r="EG22">
            <v>603.63719000000003</v>
          </cell>
          <cell r="EH22">
            <v>0</v>
          </cell>
          <cell r="EI22" t="str">
            <v>||</v>
          </cell>
          <cell r="EZ22" t="str">
            <v>=</v>
          </cell>
        </row>
        <row r="23">
          <cell r="DR23" t="str">
            <v>||</v>
          </cell>
          <cell r="DV23" t="str">
            <v>LESS: Depreciation</v>
          </cell>
          <cell r="DW23">
            <v>72.124020000000002</v>
          </cell>
          <cell r="DX23">
            <v>142.47402</v>
          </cell>
          <cell r="DY23">
            <v>203.33401999999998</v>
          </cell>
          <cell r="DZ23">
            <v>255.99401999999998</v>
          </cell>
          <cell r="EA23">
            <v>301.56401999999997</v>
          </cell>
          <cell r="EB23">
            <v>341.02401999999995</v>
          </cell>
          <cell r="EC23">
            <v>375.20401999999996</v>
          </cell>
          <cell r="ED23">
            <v>404.80401999999998</v>
          </cell>
          <cell r="EE23">
            <v>430.46402</v>
          </cell>
          <cell r="EF23">
            <v>452.71402</v>
          </cell>
          <cell r="EG23">
            <v>471.99401999999998</v>
          </cell>
          <cell r="EI23" t="str">
            <v>||</v>
          </cell>
          <cell r="EV23" t="str">
            <v>Notes:-</v>
          </cell>
          <cell r="EZ23" t="str">
            <v>=</v>
          </cell>
        </row>
        <row r="24">
          <cell r="DR24" t="str">
            <v>||</v>
          </cell>
          <cell r="DV24" t="str">
            <v>NET Fixed Assets</v>
          </cell>
          <cell r="DW24">
            <v>531.51317000000006</v>
          </cell>
          <cell r="DX24">
            <v>461.16317000000004</v>
          </cell>
          <cell r="DY24">
            <v>400.30317000000002</v>
          </cell>
          <cell r="DZ24">
            <v>347.64317000000005</v>
          </cell>
          <cell r="EA24">
            <v>302.07317000000006</v>
          </cell>
          <cell r="EB24">
            <v>262.61317000000008</v>
          </cell>
          <cell r="EC24">
            <v>228.43317000000008</v>
          </cell>
          <cell r="ED24">
            <v>198.83317000000005</v>
          </cell>
          <cell r="EE24">
            <v>173.17317000000003</v>
          </cell>
          <cell r="EF24">
            <v>150.92317000000003</v>
          </cell>
          <cell r="EG24">
            <v>131.64317000000005</v>
          </cell>
          <cell r="EI24" t="str">
            <v>||</v>
          </cell>
          <cell r="EV24" t="str">
            <v>1. Investment to Turnover ratio has been calculated on total investment</v>
          </cell>
        </row>
        <row r="25">
          <cell r="DM25">
            <v>27.981839999999998</v>
          </cell>
          <cell r="DN25">
            <v>15.08184</v>
          </cell>
          <cell r="DO25">
            <v>1.0909199999999999</v>
          </cell>
          <cell r="DP25">
            <v>0.72727999999999993</v>
          </cell>
          <cell r="DQ25">
            <v>0</v>
          </cell>
          <cell r="DR25" t="str">
            <v>||</v>
          </cell>
          <cell r="DV25" t="str">
            <v>Other Capital Expenditure-Security Deposit</v>
          </cell>
          <cell r="DW25">
            <v>0</v>
          </cell>
          <cell r="DX25">
            <v>0</v>
          </cell>
          <cell r="DY25">
            <v>0</v>
          </cell>
          <cell r="DZ25">
            <v>0</v>
          </cell>
          <cell r="EA25">
            <v>0</v>
          </cell>
          <cell r="EB25">
            <v>0</v>
          </cell>
          <cell r="EC25">
            <v>0</v>
          </cell>
          <cell r="ED25">
            <v>0</v>
          </cell>
          <cell r="EE25">
            <v>0</v>
          </cell>
          <cell r="EF25">
            <v>0</v>
          </cell>
          <cell r="EG25">
            <v>0</v>
          </cell>
          <cell r="EI25" t="str">
            <v>||</v>
          </cell>
          <cell r="EV25" t="str">
            <v>in the project.</v>
          </cell>
        </row>
        <row r="26">
          <cell r="DM26">
            <v>0.21815999999999999</v>
          </cell>
          <cell r="DN26">
            <v>0.21815999999999999</v>
          </cell>
          <cell r="DO26">
            <v>0.21815999999999999</v>
          </cell>
          <cell r="DP26">
            <v>0.21815999999999999</v>
          </cell>
          <cell r="DR26" t="str">
            <v>||</v>
          </cell>
          <cell r="DV26" t="str">
            <v>Current Assets</v>
          </cell>
          <cell r="DW26">
            <v>6.386890000000002</v>
          </cell>
          <cell r="DX26">
            <v>39.914999999999999</v>
          </cell>
          <cell r="DY26">
            <v>83.118124999999992</v>
          </cell>
          <cell r="DZ26">
            <v>128.138375</v>
          </cell>
          <cell r="EA26">
            <v>137.44381999999999</v>
          </cell>
          <cell r="EB26">
            <v>137.44381999999999</v>
          </cell>
          <cell r="EC26">
            <v>137.44381999999999</v>
          </cell>
          <cell r="ED26">
            <v>137.44381999999999</v>
          </cell>
          <cell r="EE26">
            <v>137.44381999999999</v>
          </cell>
          <cell r="EF26">
            <v>137.44381999999999</v>
          </cell>
          <cell r="EG26">
            <v>137.44381999999999</v>
          </cell>
          <cell r="EI26" t="str">
            <v>||</v>
          </cell>
          <cell r="EV26" t="str">
            <v xml:space="preserve">2. Internal rate of return has been calculated on Gross cash inflow </v>
          </cell>
          <cell r="EZ26" t="str">
            <v>=</v>
          </cell>
        </row>
        <row r="27">
          <cell r="DM27">
            <v>3.05</v>
          </cell>
          <cell r="DN27">
            <v>0.22</v>
          </cell>
          <cell r="DO27">
            <v>0</v>
          </cell>
          <cell r="DP27">
            <v>0</v>
          </cell>
          <cell r="DR27" t="str">
            <v>||</v>
          </cell>
          <cell r="DV27" t="str">
            <v>Cash &amp; Bank Balance</v>
          </cell>
          <cell r="DW27">
            <v>10.02201999999992</v>
          </cell>
          <cell r="DX27">
            <v>-38.298282090795155</v>
          </cell>
          <cell r="DY27">
            <v>6.2562259716309114</v>
          </cell>
          <cell r="DZ27">
            <v>83.132548205949689</v>
          </cell>
          <cell r="EA27">
            <v>158.85667798477672</v>
          </cell>
          <cell r="EB27">
            <v>244.95538668335737</v>
          </cell>
          <cell r="EC27">
            <v>313.19618538193811</v>
          </cell>
          <cell r="ED27">
            <v>372.47698408051878</v>
          </cell>
          <cell r="EE27">
            <v>438.25778277909944</v>
          </cell>
          <cell r="EF27">
            <v>507.65950147768018</v>
          </cell>
          <cell r="EG27">
            <v>566.0321401762609</v>
          </cell>
          <cell r="EI27" t="str">
            <v>||</v>
          </cell>
          <cell r="EV27" t="str">
            <v>for next ten years from the commissioning of the project..</v>
          </cell>
          <cell r="EZ27" t="str">
            <v>=</v>
          </cell>
        </row>
        <row r="28">
          <cell r="DM28">
            <v>11.19</v>
          </cell>
          <cell r="DN28">
            <v>11.19</v>
          </cell>
          <cell r="DO28">
            <v>11.19</v>
          </cell>
          <cell r="DP28">
            <v>11.19</v>
          </cell>
          <cell r="DQ28">
            <v>0</v>
          </cell>
          <cell r="DR28" t="str">
            <v>||</v>
          </cell>
          <cell r="DT28">
            <v>0</v>
          </cell>
          <cell r="DV28" t="str">
            <v>Misc. Expenditure</v>
          </cell>
          <cell r="DW28">
            <v>0</v>
          </cell>
          <cell r="DX28">
            <v>0</v>
          </cell>
          <cell r="DY28">
            <v>0</v>
          </cell>
          <cell r="DZ28">
            <v>0</v>
          </cell>
          <cell r="EA28">
            <v>0</v>
          </cell>
          <cell r="EB28">
            <v>0</v>
          </cell>
          <cell r="EC28">
            <v>0</v>
          </cell>
          <cell r="ED28">
            <v>0</v>
          </cell>
          <cell r="EE28">
            <v>0</v>
          </cell>
          <cell r="EF28">
            <v>0</v>
          </cell>
          <cell r="EG28">
            <v>0</v>
          </cell>
          <cell r="EI28" t="str">
            <v>||</v>
          </cell>
          <cell r="EV28" t="str">
            <v>3. Gross Profit Margin Ratio has been calculated on the Sales &amp;</v>
          </cell>
        </row>
        <row r="29">
          <cell r="DM29">
            <v>0</v>
          </cell>
          <cell r="DN29">
            <v>0</v>
          </cell>
          <cell r="DO29">
            <v>0</v>
          </cell>
          <cell r="DP29">
            <v>0</v>
          </cell>
          <cell r="DR29" t="str">
            <v>||</v>
          </cell>
          <cell r="DT29">
            <v>0</v>
          </cell>
          <cell r="DV29" t="str">
            <v>[To the extent not Written off or adjusted]</v>
          </cell>
          <cell r="DW29">
            <v>0</v>
          </cell>
          <cell r="EI29" t="str">
            <v>||</v>
          </cell>
          <cell r="EV29" t="str">
            <v>Gross Profitr for the third year i.e. optimum year of operation.</v>
          </cell>
        </row>
        <row r="30">
          <cell r="DM30">
            <v>0</v>
          </cell>
          <cell r="DN30">
            <v>0</v>
          </cell>
          <cell r="DO30">
            <v>0</v>
          </cell>
          <cell r="DP30">
            <v>0</v>
          </cell>
          <cell r="DR30" t="str">
            <v>||</v>
          </cell>
          <cell r="DV30" t="str">
            <v>Other Non Current Assets</v>
          </cell>
          <cell r="DX30">
            <v>4.4400000000000004</v>
          </cell>
          <cell r="DY30">
            <v>5.1999999999999993</v>
          </cell>
          <cell r="DZ30">
            <v>7.77</v>
          </cell>
          <cell r="EA30">
            <v>8.36</v>
          </cell>
          <cell r="EB30">
            <v>8.36</v>
          </cell>
          <cell r="EC30">
            <v>8.36</v>
          </cell>
          <cell r="ED30">
            <v>8.36</v>
          </cell>
          <cell r="EE30">
            <v>8.36</v>
          </cell>
          <cell r="EF30">
            <v>8.36</v>
          </cell>
          <cell r="EG30">
            <v>8.36</v>
          </cell>
          <cell r="EI30" t="str">
            <v>||</v>
          </cell>
          <cell r="EV30" t="str">
            <v>4. Operating Profit Margin Ratio has been calculated on the Sales &amp;</v>
          </cell>
          <cell r="EZ30" t="str">
            <v>=</v>
          </cell>
        </row>
        <row r="31">
          <cell r="DM31">
            <v>42.44</v>
          </cell>
          <cell r="DN31">
            <v>26.71</v>
          </cell>
          <cell r="DO31">
            <v>12.499079999999999</v>
          </cell>
          <cell r="DP31">
            <v>11.408159999999999</v>
          </cell>
          <cell r="DR31" t="str">
            <v>||</v>
          </cell>
          <cell r="DV31" t="str">
            <v>TOTAL of All Assets</v>
          </cell>
          <cell r="DW31">
            <v>547.92207999999994</v>
          </cell>
          <cell r="DX31">
            <v>467.21988790920489</v>
          </cell>
          <cell r="DY31">
            <v>494.87752097163087</v>
          </cell>
          <cell r="DZ31">
            <v>566.68409320594969</v>
          </cell>
          <cell r="EA31">
            <v>606.73366798477684</v>
          </cell>
          <cell r="EB31" t="e">
            <v>#VALUE!</v>
          </cell>
          <cell r="EC31" t="e">
            <v>#VALUE!</v>
          </cell>
          <cell r="ED31" t="e">
            <v>#VALUE!</v>
          </cell>
          <cell r="EE31" t="e">
            <v>#VALUE!</v>
          </cell>
          <cell r="EF31" t="e">
            <v>#VALUE!</v>
          </cell>
          <cell r="EG31" t="e">
            <v>#VALUE!</v>
          </cell>
          <cell r="EI31" t="str">
            <v>||</v>
          </cell>
          <cell r="EV31" t="str">
            <v>Operating Profit for the third year i.e. optimum year of operation.</v>
          </cell>
          <cell r="EZ31" t="str">
            <v>=</v>
          </cell>
        </row>
        <row r="32">
          <cell r="DR32" t="str">
            <v>||</v>
          </cell>
          <cell r="DT32">
            <v>0</v>
          </cell>
          <cell r="EI32" t="str">
            <v>||</v>
          </cell>
        </row>
        <row r="33">
          <cell r="DM33">
            <v>313.19618538193811</v>
          </cell>
          <cell r="DN33">
            <v>372.47698408051878</v>
          </cell>
          <cell r="DO33">
            <v>438.25778277909944</v>
          </cell>
          <cell r="DP33">
            <v>507.65950147768018</v>
          </cell>
          <cell r="DR33" t="str">
            <v>||</v>
          </cell>
          <cell r="DV33">
            <v>0</v>
          </cell>
          <cell r="DW33">
            <v>-3.4359799999999723</v>
          </cell>
          <cell r="DX33">
            <v>9.0000000056988938E-5</v>
          </cell>
          <cell r="DY33">
            <v>9.0000000170675776E-5</v>
          </cell>
          <cell r="DZ33">
            <v>9.0000000113832357E-5</v>
          </cell>
          <cell r="EA33">
            <v>8.9999999886458681E-5</v>
          </cell>
          <cell r="EB33">
            <v>-2.7700000000550062E-3</v>
          </cell>
          <cell r="EC33">
            <v>-2.7700000000550062E-3</v>
          </cell>
          <cell r="ED33">
            <v>-2.7699999999413194E-3</v>
          </cell>
          <cell r="EE33">
            <v>-2.7699999999413194E-3</v>
          </cell>
          <cell r="EF33">
            <v>-2.7700000000550062E-3</v>
          </cell>
          <cell r="EG33">
            <v>-2.7699999999413194E-3</v>
          </cell>
          <cell r="EH33">
            <v>0</v>
          </cell>
          <cell r="EI33" t="str">
            <v>||</v>
          </cell>
        </row>
        <row r="34">
          <cell r="DM34">
            <v>59.280798698580682</v>
          </cell>
          <cell r="DN34">
            <v>65.780798698580696</v>
          </cell>
          <cell r="DO34">
            <v>69.401718698580737</v>
          </cell>
          <cell r="DP34">
            <v>58.37263869858073</v>
          </cell>
          <cell r="DR34" t="str">
            <v>||</v>
          </cell>
          <cell r="DX34">
            <v>0</v>
          </cell>
          <cell r="DY34">
            <v>0</v>
          </cell>
          <cell r="DZ34">
            <v>0</v>
          </cell>
          <cell r="EA34">
            <v>0</v>
          </cell>
          <cell r="EB34">
            <v>0</v>
          </cell>
          <cell r="EC34">
            <v>0</v>
          </cell>
          <cell r="ED34">
            <v>0</v>
          </cell>
          <cell r="EE34">
            <v>0</v>
          </cell>
          <cell r="EF34">
            <v>0</v>
          </cell>
          <cell r="EG34">
            <v>0</v>
          </cell>
          <cell r="EI34" t="str">
            <v>||</v>
          </cell>
        </row>
        <row r="35">
          <cell r="DM35">
            <v>372.47698408051878</v>
          </cell>
          <cell r="DN35">
            <v>438.25778277909944</v>
          </cell>
          <cell r="DO35">
            <v>507.65950147768018</v>
          </cell>
          <cell r="DP35">
            <v>566.0321401762609</v>
          </cell>
          <cell r="DR35" t="str">
            <v>||</v>
          </cell>
          <cell r="DW35">
            <v>75.319999999999993</v>
          </cell>
          <cell r="DX35">
            <v>0</v>
          </cell>
          <cell r="DY35">
            <v>0</v>
          </cell>
          <cell r="DZ35">
            <v>0</v>
          </cell>
          <cell r="EA35">
            <v>0</v>
          </cell>
          <cell r="EB35">
            <v>0</v>
          </cell>
          <cell r="EC35">
            <v>0</v>
          </cell>
          <cell r="EI35" t="str">
            <v>||</v>
          </cell>
        </row>
        <row r="36">
          <cell r="DR36" t="str">
            <v>||</v>
          </cell>
          <cell r="EI36" t="str">
            <v>||</v>
          </cell>
        </row>
        <row r="37">
          <cell r="DR37" t="str">
            <v>||</v>
          </cell>
          <cell r="EI37" t="str">
            <v>||</v>
          </cell>
        </row>
        <row r="38">
          <cell r="DR38" t="str">
            <v>||</v>
          </cell>
          <cell r="EI38" t="str">
            <v>||</v>
          </cell>
        </row>
        <row r="39">
          <cell r="DR39" t="str">
            <v>||</v>
          </cell>
          <cell r="EI39" t="str">
            <v>||</v>
          </cell>
        </row>
        <row r="40">
          <cell r="DR40" t="str">
            <v>||</v>
          </cell>
          <cell r="EI40" t="str">
            <v>||</v>
          </cell>
        </row>
        <row r="41">
          <cell r="DR41" t="str">
            <v>||</v>
          </cell>
          <cell r="EI41" t="str">
            <v>||</v>
          </cell>
        </row>
        <row r="42">
          <cell r="DR42" t="str">
            <v>||</v>
          </cell>
          <cell r="EI42" t="str">
            <v>||</v>
          </cell>
        </row>
        <row r="43">
          <cell r="DR43" t="str">
            <v>||</v>
          </cell>
          <cell r="EI43" t="str">
            <v>||</v>
          </cell>
        </row>
        <row r="44">
          <cell r="DR44" t="str">
            <v>||</v>
          </cell>
          <cell r="EI44" t="str">
            <v>||</v>
          </cell>
        </row>
        <row r="45">
          <cell r="DR45" t="str">
            <v>||</v>
          </cell>
          <cell r="EI45" t="str">
            <v>||</v>
          </cell>
        </row>
        <row r="46">
          <cell r="DR46" t="str">
            <v>||</v>
          </cell>
          <cell r="EI46" t="str">
            <v>||</v>
          </cell>
        </row>
        <row r="47">
          <cell r="DR47" t="str">
            <v>||</v>
          </cell>
          <cell r="EI47" t="str">
            <v>||</v>
          </cell>
        </row>
        <row r="48">
          <cell r="DR48" t="str">
            <v>||</v>
          </cell>
          <cell r="EH48">
            <v>0</v>
          </cell>
          <cell r="EI48" t="str">
            <v>||</v>
          </cell>
        </row>
        <row r="49">
          <cell r="DR49" t="str">
            <v>||</v>
          </cell>
          <cell r="DU49">
            <v>0</v>
          </cell>
          <cell r="DV49">
            <v>0</v>
          </cell>
          <cell r="DW49">
            <v>0</v>
          </cell>
          <cell r="DX49">
            <v>0</v>
          </cell>
          <cell r="DY49">
            <v>0</v>
          </cell>
          <cell r="DZ49">
            <v>0</v>
          </cell>
          <cell r="EA49">
            <v>0</v>
          </cell>
          <cell r="EB49">
            <v>0</v>
          </cell>
          <cell r="EC49">
            <v>0</v>
          </cell>
          <cell r="ED49">
            <v>0</v>
          </cell>
          <cell r="EE49">
            <v>0</v>
          </cell>
          <cell r="EF49">
            <v>0</v>
          </cell>
          <cell r="EG49">
            <v>0</v>
          </cell>
          <cell r="EI49" t="str">
            <v>||</v>
          </cell>
        </row>
        <row r="50">
          <cell r="DR50" t="str">
            <v>||</v>
          </cell>
          <cell r="EE50">
            <v>0</v>
          </cell>
          <cell r="EF50">
            <v>0</v>
          </cell>
          <cell r="EH50">
            <v>0</v>
          </cell>
          <cell r="EI50" t="str">
            <v>||</v>
          </cell>
        </row>
        <row r="51">
          <cell r="DR51" t="str">
            <v>||</v>
          </cell>
          <cell r="DW51">
            <v>0</v>
          </cell>
          <cell r="DX51">
            <v>0</v>
          </cell>
          <cell r="DY51">
            <v>0</v>
          </cell>
          <cell r="DZ51">
            <v>0</v>
          </cell>
          <cell r="EA51">
            <v>0</v>
          </cell>
          <cell r="EB51">
            <v>0</v>
          </cell>
          <cell r="EC51">
            <v>0</v>
          </cell>
          <cell r="ED51">
            <v>0</v>
          </cell>
          <cell r="EE51">
            <v>0</v>
          </cell>
          <cell r="EF51">
            <v>0</v>
          </cell>
          <cell r="EG51">
            <v>0</v>
          </cell>
        </row>
        <row r="52">
          <cell r="DR52" t="str">
            <v>||</v>
          </cell>
          <cell r="DV52">
            <v>0</v>
          </cell>
          <cell r="DW52">
            <v>0</v>
          </cell>
          <cell r="DX52">
            <v>0</v>
          </cell>
          <cell r="DY52">
            <v>0</v>
          </cell>
          <cell r="DZ52">
            <v>0</v>
          </cell>
          <cell r="EA52">
            <v>0</v>
          </cell>
          <cell r="EB52">
            <v>0</v>
          </cell>
          <cell r="EC52">
            <v>0</v>
          </cell>
          <cell r="ED52">
            <v>0</v>
          </cell>
          <cell r="EE52">
            <v>0</v>
          </cell>
          <cell r="EF52">
            <v>0</v>
          </cell>
          <cell r="EG52">
            <v>0</v>
          </cell>
        </row>
        <row r="53">
          <cell r="DR53" t="str">
            <v>||</v>
          </cell>
        </row>
        <row r="54">
          <cell r="DR54" t="str">
            <v>||</v>
          </cell>
        </row>
        <row r="55">
          <cell r="DR55" t="str">
            <v>||</v>
          </cell>
        </row>
        <row r="56">
          <cell r="DR56" t="str">
            <v>||</v>
          </cell>
        </row>
        <row r="57">
          <cell r="DR57" t="str">
            <v>||</v>
          </cell>
        </row>
        <row r="58">
          <cell r="DR58" t="str">
            <v>||</v>
          </cell>
        </row>
        <row r="59">
          <cell r="DR59" t="str">
            <v>||</v>
          </cell>
          <cell r="EI59" t="str">
            <v>||</v>
          </cell>
        </row>
        <row r="60">
          <cell r="DR60" t="str">
            <v>||</v>
          </cell>
          <cell r="EI60" t="str">
            <v>||</v>
          </cell>
        </row>
        <row r="61">
          <cell r="DR61" t="str">
            <v>||</v>
          </cell>
          <cell r="EI61" t="str">
            <v>||</v>
          </cell>
        </row>
        <row r="62">
          <cell r="DR62" t="str">
            <v>||</v>
          </cell>
          <cell r="EI62" t="str">
            <v>||</v>
          </cell>
        </row>
        <row r="63">
          <cell r="DR63" t="str">
            <v>||</v>
          </cell>
          <cell r="EI63" t="str">
            <v>||</v>
          </cell>
        </row>
        <row r="64">
          <cell r="DR64" t="str">
            <v>||</v>
          </cell>
          <cell r="EI64" t="str">
            <v>||</v>
          </cell>
        </row>
        <row r="65">
          <cell r="DR65" t="str">
            <v>||</v>
          </cell>
          <cell r="EI65" t="str">
            <v>||</v>
          </cell>
        </row>
        <row r="66">
          <cell r="DR66" t="str">
            <v>||</v>
          </cell>
          <cell r="EI66" t="str">
            <v>||</v>
          </cell>
        </row>
        <row r="67">
          <cell r="DR67" t="str">
            <v>||</v>
          </cell>
          <cell r="EI67" t="str">
            <v>||</v>
          </cell>
        </row>
        <row r="68">
          <cell r="DR68" t="str">
            <v>||</v>
          </cell>
          <cell r="EI68" t="str">
            <v>||</v>
          </cell>
        </row>
        <row r="69">
          <cell r="DM69">
            <v>0</v>
          </cell>
          <cell r="DN69">
            <v>0</v>
          </cell>
          <cell r="DO69">
            <v>0</v>
          </cell>
          <cell r="DP69">
            <v>0</v>
          </cell>
          <cell r="DR69" t="str">
            <v>||</v>
          </cell>
          <cell r="EI69" t="str">
            <v>||</v>
          </cell>
        </row>
        <row r="70">
          <cell r="DR70" t="str">
            <v>||</v>
          </cell>
          <cell r="EI70" t="str">
            <v>||</v>
          </cell>
        </row>
        <row r="71">
          <cell r="DR71" t="str">
            <v>||</v>
          </cell>
          <cell r="EI71" t="str">
            <v>||</v>
          </cell>
        </row>
        <row r="72">
          <cell r="DR72" t="str">
            <v>||</v>
          </cell>
          <cell r="EI72" t="str">
            <v>||</v>
          </cell>
        </row>
        <row r="73">
          <cell r="DR73" t="str">
            <v>||</v>
          </cell>
          <cell r="EI73" t="str">
            <v>||</v>
          </cell>
        </row>
        <row r="74">
          <cell r="DR74" t="str">
            <v>||</v>
          </cell>
          <cell r="EI74" t="str">
            <v>||</v>
          </cell>
        </row>
        <row r="75">
          <cell r="DR75" t="str">
            <v>||</v>
          </cell>
          <cell r="EI75" t="str">
            <v>||</v>
          </cell>
        </row>
        <row r="76">
          <cell r="DR76" t="str">
            <v>||</v>
          </cell>
          <cell r="EI76" t="str">
            <v>||</v>
          </cell>
        </row>
        <row r="77">
          <cell r="DR77" t="str">
            <v>||</v>
          </cell>
          <cell r="EI77" t="str">
            <v>||</v>
          </cell>
        </row>
        <row r="78">
          <cell r="DR78" t="str">
            <v>||</v>
          </cell>
          <cell r="EI78" t="str">
            <v>||</v>
          </cell>
        </row>
        <row r="79">
          <cell r="DM79" t="str">
            <v>-</v>
          </cell>
          <cell r="DN79" t="str">
            <v>-</v>
          </cell>
          <cell r="DO79" t="str">
            <v>-</v>
          </cell>
          <cell r="DP79" t="str">
            <v>-</v>
          </cell>
          <cell r="DQ79" t="str">
            <v>-</v>
          </cell>
          <cell r="DR79" t="str">
            <v>||</v>
          </cell>
          <cell r="EI79" t="str">
            <v>||</v>
          </cell>
        </row>
        <row r="80">
          <cell r="DR80" t="str">
            <v>||</v>
          </cell>
          <cell r="EI80" t="str">
            <v>||</v>
          </cell>
        </row>
        <row r="81">
          <cell r="DR81" t="str">
            <v>||</v>
          </cell>
          <cell r="EI81" t="str">
            <v>||</v>
          </cell>
        </row>
        <row r="82">
          <cell r="DR82" t="str">
            <v>||</v>
          </cell>
          <cell r="EI82" t="str">
            <v>||</v>
          </cell>
        </row>
        <row r="83">
          <cell r="DR83" t="str">
            <v>||</v>
          </cell>
          <cell r="EI83" t="str">
            <v>||</v>
          </cell>
        </row>
        <row r="84">
          <cell r="DR84" t="str">
            <v>||</v>
          </cell>
          <cell r="EI84" t="str">
            <v>||</v>
          </cell>
        </row>
        <row r="85">
          <cell r="DR85" t="str">
            <v>||</v>
          </cell>
          <cell r="EI85" t="str">
            <v>||</v>
          </cell>
        </row>
        <row r="86">
          <cell r="DR86" t="str">
            <v>||</v>
          </cell>
          <cell r="EI86" t="str">
            <v>||</v>
          </cell>
        </row>
        <row r="87">
          <cell r="DR87" t="str">
            <v>||</v>
          </cell>
          <cell r="EI87" t="str">
            <v>||</v>
          </cell>
        </row>
        <row r="88">
          <cell r="DR88" t="str">
            <v>||</v>
          </cell>
          <cell r="EI88" t="str">
            <v>||</v>
          </cell>
        </row>
        <row r="89">
          <cell r="DR89" t="str">
            <v>||</v>
          </cell>
          <cell r="EI89" t="str">
            <v>||</v>
          </cell>
        </row>
        <row r="90">
          <cell r="DR90" t="str">
            <v>||</v>
          </cell>
          <cell r="EI90" t="str">
            <v>||</v>
          </cell>
        </row>
        <row r="91">
          <cell r="DR91" t="str">
            <v>||</v>
          </cell>
          <cell r="EI91" t="str">
            <v>||</v>
          </cell>
        </row>
        <row r="92">
          <cell r="DR92" t="str">
            <v>||</v>
          </cell>
          <cell r="EI92" t="str">
            <v>||</v>
          </cell>
        </row>
        <row r="93">
          <cell r="DR93" t="str">
            <v>||</v>
          </cell>
          <cell r="EI93" t="str">
            <v>||</v>
          </cell>
        </row>
        <row r="94">
          <cell r="DR94" t="str">
            <v>||</v>
          </cell>
          <cell r="EI94" t="str">
            <v>||</v>
          </cell>
        </row>
        <row r="95">
          <cell r="DR95" t="str">
            <v>-</v>
          </cell>
          <cell r="EI95" t="str">
            <v>||</v>
          </cell>
        </row>
        <row r="96">
          <cell r="DR96" t="str">
            <v>||</v>
          </cell>
          <cell r="EI96" t="str">
            <v>||</v>
          </cell>
        </row>
        <row r="97">
          <cell r="DR97" t="str">
            <v>||</v>
          </cell>
          <cell r="EI97" t="str">
            <v>||</v>
          </cell>
        </row>
        <row r="98">
          <cell r="DR98" t="str">
            <v>||</v>
          </cell>
          <cell r="EI98" t="str">
            <v>||</v>
          </cell>
        </row>
        <row r="99">
          <cell r="DR99" t="str">
            <v>||</v>
          </cell>
          <cell r="EI99" t="str">
            <v>||</v>
          </cell>
        </row>
        <row r="100">
          <cell r="DR100" t="str">
            <v>||</v>
          </cell>
          <cell r="EI100" t="str">
            <v>||</v>
          </cell>
        </row>
        <row r="101">
          <cell r="DR101" t="str">
            <v>||</v>
          </cell>
          <cell r="EI101" t="str">
            <v>||</v>
          </cell>
        </row>
        <row r="102">
          <cell r="DR102" t="str">
            <v>||</v>
          </cell>
          <cell r="EI102" t="str">
            <v>||</v>
          </cell>
        </row>
        <row r="103">
          <cell r="DR103" t="str">
            <v>||</v>
          </cell>
          <cell r="EI103" t="str">
            <v>||</v>
          </cell>
        </row>
        <row r="104">
          <cell r="DR104" t="str">
            <v>||</v>
          </cell>
          <cell r="EI104" t="str">
            <v>||</v>
          </cell>
        </row>
        <row r="105">
          <cell r="DR105" t="str">
            <v>||</v>
          </cell>
          <cell r="EI105" t="str">
            <v>||</v>
          </cell>
        </row>
        <row r="106">
          <cell r="DR106" t="str">
            <v>||</v>
          </cell>
          <cell r="EI106" t="str">
            <v>||</v>
          </cell>
        </row>
        <row r="107">
          <cell r="DR107" t="str">
            <v>||</v>
          </cell>
          <cell r="EI107" t="str">
            <v>||</v>
          </cell>
        </row>
        <row r="108">
          <cell r="DR108" t="str">
            <v>||</v>
          </cell>
          <cell r="EI108" t="str">
            <v>||</v>
          </cell>
        </row>
        <row r="109">
          <cell r="DR109" t="str">
            <v>||</v>
          </cell>
          <cell r="EI109" t="str">
            <v>||</v>
          </cell>
        </row>
        <row r="110">
          <cell r="DR110" t="str">
            <v>||</v>
          </cell>
          <cell r="EI110" t="str">
            <v>||</v>
          </cell>
        </row>
        <row r="111">
          <cell r="DR111" t="str">
            <v>||</v>
          </cell>
          <cell r="EI111" t="str">
            <v>||</v>
          </cell>
        </row>
        <row r="112">
          <cell r="DR112" t="str">
            <v>||</v>
          </cell>
          <cell r="EI112" t="str">
            <v>||</v>
          </cell>
        </row>
        <row r="113">
          <cell r="DR113" t="str">
            <v>||</v>
          </cell>
          <cell r="EI113" t="str">
            <v>||</v>
          </cell>
        </row>
        <row r="114">
          <cell r="DR114" t="str">
            <v>||</v>
          </cell>
          <cell r="EI114" t="str">
            <v>||</v>
          </cell>
        </row>
        <row r="115">
          <cell r="DR115" t="str">
            <v>||</v>
          </cell>
          <cell r="EI115" t="str">
            <v>||</v>
          </cell>
        </row>
        <row r="116">
          <cell r="DR116" t="str">
            <v>||</v>
          </cell>
          <cell r="EI116" t="str">
            <v>||</v>
          </cell>
        </row>
        <row r="117">
          <cell r="DR117" t="str">
            <v>||</v>
          </cell>
          <cell r="EI117" t="str">
            <v>||</v>
          </cell>
        </row>
        <row r="118">
          <cell r="DR118" t="str">
            <v>||</v>
          </cell>
          <cell r="EI118" t="str">
            <v>||</v>
          </cell>
        </row>
        <row r="119">
          <cell r="DR119" t="str">
            <v>||</v>
          </cell>
          <cell r="EI119" t="str">
            <v>||</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sheetName val="Form"/>
      <sheetName val="Challan"/>
      <sheetName val="Annexure-I"/>
      <sheetName val="ImportSheet"/>
      <sheetName val="Param"/>
      <sheetName val="outPut"/>
    </sheetNames>
    <sheetDataSet>
      <sheetData sheetId="0" refreshError="1"/>
      <sheetData sheetId="1" refreshError="1"/>
      <sheetData sheetId="2">
        <row r="7">
          <cell r="A7">
            <v>1</v>
          </cell>
          <cell r="B7" t="str">
            <v>94J</v>
          </cell>
          <cell r="C7">
            <v>52304</v>
          </cell>
          <cell r="D7">
            <v>0</v>
          </cell>
          <cell r="E7">
            <v>1046</v>
          </cell>
          <cell r="F7">
            <v>0</v>
          </cell>
          <cell r="G7">
            <v>0</v>
          </cell>
          <cell r="I7">
            <v>53350</v>
          </cell>
          <cell r="J7" t="str">
            <v>239166</v>
          </cell>
          <cell r="L7">
            <v>350457</v>
          </cell>
          <cell r="N7">
            <v>38610</v>
          </cell>
          <cell r="P7">
            <v>21</v>
          </cell>
          <cell r="Q7" t="str">
            <v>No</v>
          </cell>
          <cell r="R7">
            <v>0</v>
          </cell>
          <cell r="S7">
            <v>0</v>
          </cell>
          <cell r="U7">
            <v>53350</v>
          </cell>
        </row>
        <row r="8">
          <cell r="A8">
            <v>2</v>
          </cell>
          <cell r="B8" t="str">
            <v>94J</v>
          </cell>
          <cell r="C8">
            <v>13467</v>
          </cell>
          <cell r="D8">
            <v>0</v>
          </cell>
          <cell r="E8">
            <v>269</v>
          </cell>
          <cell r="F8">
            <v>0</v>
          </cell>
          <cell r="G8">
            <v>0</v>
          </cell>
          <cell r="I8">
            <v>13736</v>
          </cell>
          <cell r="J8" t="str">
            <v>632025</v>
          </cell>
          <cell r="L8">
            <v>350457</v>
          </cell>
          <cell r="N8">
            <v>38673</v>
          </cell>
          <cell r="P8">
            <v>2</v>
          </cell>
          <cell r="Q8" t="str">
            <v>No</v>
          </cell>
          <cell r="R8">
            <v>0</v>
          </cell>
          <cell r="S8">
            <v>0</v>
          </cell>
          <cell r="U8">
            <v>13736</v>
          </cell>
        </row>
        <row r="9">
          <cell r="A9">
            <v>3</v>
          </cell>
          <cell r="B9" t="str">
            <v>94J</v>
          </cell>
          <cell r="C9">
            <v>9205</v>
          </cell>
          <cell r="D9">
            <v>0</v>
          </cell>
          <cell r="E9">
            <v>184</v>
          </cell>
          <cell r="F9">
            <v>0</v>
          </cell>
          <cell r="G9">
            <v>0</v>
          </cell>
          <cell r="I9">
            <v>9389</v>
          </cell>
          <cell r="J9" t="str">
            <v>632036</v>
          </cell>
          <cell r="L9">
            <v>350457</v>
          </cell>
          <cell r="N9">
            <v>38687</v>
          </cell>
          <cell r="P9">
            <v>1</v>
          </cell>
          <cell r="Q9" t="str">
            <v>No</v>
          </cell>
          <cell r="R9">
            <v>0</v>
          </cell>
          <cell r="S9">
            <v>0</v>
          </cell>
          <cell r="U9">
            <v>9389</v>
          </cell>
        </row>
        <row r="10">
          <cell r="I10">
            <v>0</v>
          </cell>
          <cell r="U10">
            <v>0</v>
          </cell>
        </row>
        <row r="11">
          <cell r="I11">
            <v>0</v>
          </cell>
          <cell r="U11">
            <v>0</v>
          </cell>
        </row>
        <row r="12">
          <cell r="I12">
            <v>0</v>
          </cell>
          <cell r="U12">
            <v>0</v>
          </cell>
        </row>
        <row r="13">
          <cell r="I13">
            <v>0</v>
          </cell>
          <cell r="U13">
            <v>0</v>
          </cell>
        </row>
        <row r="14">
          <cell r="I14">
            <v>0</v>
          </cell>
          <cell r="U14">
            <v>0</v>
          </cell>
        </row>
        <row r="15">
          <cell r="I15">
            <v>0</v>
          </cell>
          <cell r="T15">
            <v>234</v>
          </cell>
          <cell r="U15">
            <v>0</v>
          </cell>
        </row>
        <row r="16">
          <cell r="I16">
            <v>0</v>
          </cell>
          <cell r="U16">
            <v>0</v>
          </cell>
        </row>
        <row r="17">
          <cell r="I17">
            <v>0</v>
          </cell>
          <cell r="U17">
            <v>0</v>
          </cell>
        </row>
        <row r="18">
          <cell r="I18">
            <v>0</v>
          </cell>
          <cell r="U18">
            <v>0</v>
          </cell>
        </row>
        <row r="19">
          <cell r="I19">
            <v>0</v>
          </cell>
          <cell r="U19">
            <v>0</v>
          </cell>
        </row>
        <row r="20">
          <cell r="I20">
            <v>0</v>
          </cell>
          <cell r="U20">
            <v>0</v>
          </cell>
        </row>
        <row r="21">
          <cell r="I21">
            <v>0</v>
          </cell>
          <cell r="U21">
            <v>0</v>
          </cell>
        </row>
        <row r="22">
          <cell r="I22">
            <v>0</v>
          </cell>
          <cell r="U22">
            <v>0</v>
          </cell>
        </row>
        <row r="23">
          <cell r="I23">
            <v>0</v>
          </cell>
          <cell r="U23">
            <v>0</v>
          </cell>
        </row>
        <row r="24">
          <cell r="I24">
            <v>0</v>
          </cell>
          <cell r="U24">
            <v>0</v>
          </cell>
        </row>
        <row r="25">
          <cell r="I25">
            <v>0</v>
          </cell>
          <cell r="U25">
            <v>0</v>
          </cell>
        </row>
        <row r="26">
          <cell r="I26">
            <v>0</v>
          </cell>
          <cell r="U26">
            <v>0</v>
          </cell>
        </row>
        <row r="27">
          <cell r="I27">
            <v>0</v>
          </cell>
          <cell r="U27">
            <v>0</v>
          </cell>
        </row>
        <row r="28">
          <cell r="I28">
            <v>0</v>
          </cell>
          <cell r="U28">
            <v>0</v>
          </cell>
        </row>
        <row r="29">
          <cell r="I29">
            <v>0</v>
          </cell>
          <cell r="U29">
            <v>0</v>
          </cell>
        </row>
        <row r="30">
          <cell r="I30">
            <v>0</v>
          </cell>
          <cell r="U30">
            <v>0</v>
          </cell>
        </row>
        <row r="31">
          <cell r="I31">
            <v>0</v>
          </cell>
          <cell r="U31">
            <v>0</v>
          </cell>
        </row>
        <row r="32">
          <cell r="I32">
            <v>0</v>
          </cell>
          <cell r="U32">
            <v>0</v>
          </cell>
        </row>
        <row r="33">
          <cell r="I33">
            <v>0</v>
          </cell>
          <cell r="U33">
            <v>0</v>
          </cell>
        </row>
        <row r="34">
          <cell r="I34">
            <v>0</v>
          </cell>
          <cell r="U34">
            <v>0</v>
          </cell>
        </row>
        <row r="35">
          <cell r="I35">
            <v>0</v>
          </cell>
          <cell r="U35">
            <v>0</v>
          </cell>
        </row>
        <row r="36">
          <cell r="I36">
            <v>0</v>
          </cell>
          <cell r="U36">
            <v>0</v>
          </cell>
        </row>
        <row r="37">
          <cell r="I37">
            <v>0</v>
          </cell>
          <cell r="U37">
            <v>0</v>
          </cell>
        </row>
        <row r="38">
          <cell r="I38">
            <v>0</v>
          </cell>
          <cell r="U38">
            <v>0</v>
          </cell>
        </row>
        <row r="39">
          <cell r="I39">
            <v>0</v>
          </cell>
          <cell r="U39">
            <v>0</v>
          </cell>
        </row>
        <row r="40">
          <cell r="I40">
            <v>0</v>
          </cell>
          <cell r="U40">
            <v>0</v>
          </cell>
        </row>
        <row r="41">
          <cell r="I41">
            <v>0</v>
          </cell>
          <cell r="U41">
            <v>0</v>
          </cell>
        </row>
        <row r="42">
          <cell r="I42">
            <v>0</v>
          </cell>
          <cell r="U42">
            <v>0</v>
          </cell>
        </row>
        <row r="43">
          <cell r="I43">
            <v>0</v>
          </cell>
          <cell r="U43">
            <v>0</v>
          </cell>
        </row>
        <row r="44">
          <cell r="I44">
            <v>0</v>
          </cell>
          <cell r="U44">
            <v>0</v>
          </cell>
        </row>
        <row r="45">
          <cell r="I45">
            <v>0</v>
          </cell>
          <cell r="U45">
            <v>0</v>
          </cell>
        </row>
        <row r="46">
          <cell r="I46">
            <v>0</v>
          </cell>
          <cell r="U46">
            <v>0</v>
          </cell>
        </row>
        <row r="47">
          <cell r="I47">
            <v>0</v>
          </cell>
          <cell r="U47">
            <v>0</v>
          </cell>
        </row>
        <row r="48">
          <cell r="I48">
            <v>0</v>
          </cell>
          <cell r="U48">
            <v>0</v>
          </cell>
        </row>
        <row r="49">
          <cell r="I49">
            <v>0</v>
          </cell>
          <cell r="U49">
            <v>0</v>
          </cell>
        </row>
        <row r="50">
          <cell r="I50">
            <v>0</v>
          </cell>
          <cell r="U50">
            <v>0</v>
          </cell>
        </row>
        <row r="51">
          <cell r="I51">
            <v>0</v>
          </cell>
          <cell r="U51">
            <v>0</v>
          </cell>
        </row>
        <row r="52">
          <cell r="I52">
            <v>0</v>
          </cell>
          <cell r="U52">
            <v>0</v>
          </cell>
        </row>
        <row r="53">
          <cell r="I53">
            <v>0</v>
          </cell>
          <cell r="U53">
            <v>0</v>
          </cell>
        </row>
        <row r="54">
          <cell r="I54">
            <v>0</v>
          </cell>
          <cell r="U54">
            <v>0</v>
          </cell>
        </row>
        <row r="55">
          <cell r="I55">
            <v>0</v>
          </cell>
          <cell r="U55">
            <v>0</v>
          </cell>
        </row>
        <row r="56">
          <cell r="I56">
            <v>0</v>
          </cell>
          <cell r="U56">
            <v>0</v>
          </cell>
        </row>
        <row r="57">
          <cell r="I57">
            <v>0</v>
          </cell>
          <cell r="U57">
            <v>0</v>
          </cell>
        </row>
        <row r="58">
          <cell r="A58" t="str">
            <v>Total</v>
          </cell>
          <cell r="C58">
            <v>74976</v>
          </cell>
          <cell r="D58">
            <v>0</v>
          </cell>
          <cell r="E58">
            <v>1499</v>
          </cell>
          <cell r="F58">
            <v>0</v>
          </cell>
          <cell r="G58">
            <v>0</v>
          </cell>
          <cell r="H58">
            <v>0</v>
          </cell>
          <cell r="I58">
            <v>76475</v>
          </cell>
          <cell r="R58">
            <v>0</v>
          </cell>
          <cell r="S58">
            <v>0</v>
          </cell>
          <cell r="T58" t="e">
            <v>#REF!</v>
          </cell>
          <cell r="U58">
            <v>76475</v>
          </cell>
        </row>
      </sheetData>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UTATION "/>
      <sheetName val="Balance Sheet "/>
      <sheetName val="PL"/>
      <sheetName val="FA"/>
      <sheetName val="F.A. "/>
      <sheetName val="Notes"/>
      <sheetName val="Accounting Policies"/>
      <sheetName val="Loan Schedule"/>
    </sheetNames>
    <sheetDataSet>
      <sheetData sheetId="0"/>
      <sheetData sheetId="1"/>
      <sheetData sheetId="2"/>
      <sheetData sheetId="3">
        <row r="24">
          <cell r="H24" t="str">
            <v>Sd/-</v>
          </cell>
        </row>
        <row r="25">
          <cell r="H25" t="str">
            <v>Suruj Ali</v>
          </cell>
        </row>
        <row r="26">
          <cell r="H26" t="str">
            <v>Place : Kharupetia</v>
          </cell>
        </row>
        <row r="27">
          <cell r="H27" t="str">
            <v>Date : 19.06.2025</v>
          </cell>
        </row>
      </sheetData>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showGridLines="0" view="pageBreakPreview" topLeftCell="A4" zoomScaleSheetLayoutView="100" workbookViewId="0">
      <selection activeCell="K40" sqref="K40"/>
    </sheetView>
  </sheetViews>
  <sheetFormatPr defaultColWidth="9.140625" defaultRowHeight="16.5" x14ac:dyDescent="0.3"/>
  <cols>
    <col min="1" max="1" width="2.140625" style="22" customWidth="1"/>
    <col min="2" max="2" width="9.85546875" style="22" customWidth="1"/>
    <col min="3" max="3" width="15.7109375" style="22" customWidth="1"/>
    <col min="4" max="4" width="14.28515625" style="22" customWidth="1"/>
    <col min="5" max="5" width="14.140625" style="22" bestFit="1" customWidth="1"/>
    <col min="6" max="6" width="20.140625" style="22" customWidth="1"/>
    <col min="7" max="7" width="15" style="23" customWidth="1"/>
    <col min="8" max="8" width="13.140625" style="24" customWidth="1"/>
    <col min="9" max="9" width="10.28515625" style="22" bestFit="1" customWidth="1"/>
    <col min="10" max="10" width="12.5703125" style="22" customWidth="1"/>
    <col min="11" max="14" width="9.140625" style="22"/>
    <col min="15" max="15" width="12.42578125" style="22" bestFit="1" customWidth="1"/>
    <col min="16" max="16384" width="9.140625" style="22"/>
  </cols>
  <sheetData>
    <row r="1" spans="1:12" ht="18" customHeight="1" x14ac:dyDescent="0.3">
      <c r="A1" s="322" t="s">
        <v>232</v>
      </c>
      <c r="B1" s="323"/>
      <c r="C1" s="323"/>
      <c r="D1" s="323"/>
      <c r="E1" s="323"/>
      <c r="F1" s="323"/>
      <c r="G1" s="323"/>
      <c r="H1" s="323"/>
      <c r="I1" s="21"/>
      <c r="J1" s="21"/>
      <c r="K1" s="21"/>
    </row>
    <row r="2" spans="1:12" ht="15" x14ac:dyDescent="0.3">
      <c r="A2" s="323" t="s">
        <v>233</v>
      </c>
      <c r="B2" s="323"/>
      <c r="C2" s="323"/>
      <c r="D2" s="323"/>
      <c r="E2" s="323"/>
      <c r="F2" s="323"/>
      <c r="G2" s="323"/>
      <c r="H2" s="323"/>
    </row>
    <row r="3" spans="1:12" ht="15" x14ac:dyDescent="0.3">
      <c r="A3" s="323" t="s">
        <v>234</v>
      </c>
      <c r="B3" s="323"/>
      <c r="C3" s="323"/>
      <c r="D3" s="323"/>
      <c r="E3" s="323"/>
      <c r="F3" s="323"/>
      <c r="G3" s="323"/>
      <c r="H3" s="323"/>
    </row>
    <row r="4" spans="1:12" ht="15" x14ac:dyDescent="0.3">
      <c r="A4" s="323" t="s">
        <v>235</v>
      </c>
      <c r="B4" s="323"/>
      <c r="C4" s="323"/>
      <c r="D4" s="323"/>
      <c r="E4" s="323"/>
      <c r="F4" s="323"/>
      <c r="G4" s="323"/>
      <c r="H4" s="323"/>
    </row>
    <row r="5" spans="1:12" ht="17.25" thickBot="1" x14ac:dyDescent="0.35">
      <c r="C5" s="34"/>
      <c r="K5" s="25"/>
    </row>
    <row r="6" spans="1:12" ht="15" x14ac:dyDescent="0.3">
      <c r="B6" s="26" t="s">
        <v>95</v>
      </c>
      <c r="C6" s="209" t="s">
        <v>236</v>
      </c>
      <c r="D6" s="27" t="s">
        <v>96</v>
      </c>
      <c r="E6" s="199" t="s">
        <v>228</v>
      </c>
      <c r="F6" s="28"/>
      <c r="G6" s="27" t="s">
        <v>97</v>
      </c>
      <c r="H6" s="29" t="s">
        <v>134</v>
      </c>
    </row>
    <row r="7" spans="1:12" ht="15" x14ac:dyDescent="0.3">
      <c r="B7" s="30" t="s">
        <v>99</v>
      </c>
      <c r="C7" s="209" t="s">
        <v>237</v>
      </c>
      <c r="D7" s="31" t="s">
        <v>100</v>
      </c>
      <c r="E7" s="200" t="s">
        <v>239</v>
      </c>
      <c r="G7" s="31" t="s">
        <v>101</v>
      </c>
      <c r="H7" s="32" t="s">
        <v>98</v>
      </c>
    </row>
    <row r="8" spans="1:12" ht="17.25" thickBot="1" x14ac:dyDescent="0.35">
      <c r="B8" s="33" t="s">
        <v>102</v>
      </c>
      <c r="C8" s="210" t="s">
        <v>227</v>
      </c>
      <c r="D8" s="35" t="s">
        <v>103</v>
      </c>
      <c r="E8" s="36" t="s">
        <v>238</v>
      </c>
      <c r="F8" s="34"/>
      <c r="G8" s="37" t="s">
        <v>104</v>
      </c>
      <c r="H8" s="38" t="s">
        <v>105</v>
      </c>
    </row>
    <row r="10" spans="1:12" ht="18" customHeight="1" x14ac:dyDescent="0.3">
      <c r="B10" s="323" t="s">
        <v>106</v>
      </c>
      <c r="C10" s="323"/>
      <c r="D10" s="323"/>
      <c r="E10" s="323"/>
      <c r="F10" s="323"/>
      <c r="G10" s="323"/>
      <c r="H10" s="323"/>
    </row>
    <row r="11" spans="1:12" ht="18" customHeight="1" thickBot="1" x14ac:dyDescent="0.35">
      <c r="B11" s="329"/>
      <c r="C11" s="330"/>
      <c r="D11" s="39"/>
      <c r="E11" s="39"/>
      <c r="F11" s="39"/>
      <c r="G11" s="39"/>
      <c r="H11" s="40"/>
      <c r="I11" s="39"/>
      <c r="L11" s="41"/>
    </row>
    <row r="12" spans="1:12" ht="18" customHeight="1" thickBot="1" x14ac:dyDescent="0.35">
      <c r="B12" s="324" t="s">
        <v>1</v>
      </c>
      <c r="C12" s="325"/>
      <c r="D12" s="325"/>
      <c r="E12" s="326"/>
      <c r="F12" s="327" t="s">
        <v>107</v>
      </c>
      <c r="G12" s="328"/>
      <c r="H12" s="42" t="s">
        <v>153</v>
      </c>
      <c r="I12" s="39"/>
    </row>
    <row r="13" spans="1:12" ht="18" customHeight="1" x14ac:dyDescent="0.3">
      <c r="B13" s="172"/>
      <c r="C13" s="173"/>
      <c r="D13" s="173"/>
      <c r="E13" s="174"/>
      <c r="F13" s="175"/>
      <c r="G13" s="176"/>
      <c r="H13" s="177"/>
      <c r="I13" s="39"/>
    </row>
    <row r="14" spans="1:12" ht="18" customHeight="1" x14ac:dyDescent="0.3">
      <c r="B14" s="43" t="s">
        <v>108</v>
      </c>
      <c r="C14" s="44"/>
      <c r="D14" s="44"/>
      <c r="E14" s="45"/>
      <c r="F14" s="43"/>
      <c r="G14" s="44"/>
      <c r="H14" s="178"/>
      <c r="I14" s="46"/>
    </row>
    <row r="15" spans="1:12" ht="18" customHeight="1" x14ac:dyDescent="0.3">
      <c r="B15" s="47" t="s">
        <v>109</v>
      </c>
      <c r="E15" s="48"/>
      <c r="F15" s="47"/>
      <c r="G15" s="22"/>
      <c r="H15" s="179">
        <f>+'PL New Format'!D34</f>
        <v>694638</v>
      </c>
      <c r="I15" s="39"/>
    </row>
    <row r="16" spans="1:12" x14ac:dyDescent="0.3">
      <c r="B16" s="47"/>
      <c r="E16" s="48"/>
      <c r="F16" s="47"/>
      <c r="G16" s="22"/>
      <c r="H16" s="180"/>
      <c r="I16" s="46"/>
      <c r="L16" s="49"/>
    </row>
    <row r="17" spans="2:12" x14ac:dyDescent="0.3">
      <c r="B17" s="43" t="s">
        <v>110</v>
      </c>
      <c r="E17" s="48"/>
      <c r="F17" s="47"/>
      <c r="G17" s="22"/>
      <c r="H17" s="180"/>
      <c r="I17" s="46"/>
    </row>
    <row r="18" spans="2:12" ht="13.5" x14ac:dyDescent="0.25">
      <c r="B18" s="47" t="s">
        <v>111</v>
      </c>
      <c r="D18" s="23"/>
      <c r="E18" s="50"/>
      <c r="F18" s="51"/>
      <c r="G18" s="52"/>
      <c r="H18" s="179">
        <v>79</v>
      </c>
      <c r="L18" s="49"/>
    </row>
    <row r="19" spans="2:12" ht="15" x14ac:dyDescent="0.3">
      <c r="B19" s="53"/>
      <c r="D19" s="23"/>
      <c r="E19" s="50"/>
      <c r="F19" s="51"/>
      <c r="G19" s="52"/>
      <c r="H19" s="179"/>
      <c r="L19" s="49"/>
    </row>
    <row r="20" spans="2:12" ht="21" customHeight="1" x14ac:dyDescent="0.25">
      <c r="B20" s="47"/>
      <c r="E20" s="48"/>
      <c r="F20" s="54" t="s">
        <v>112</v>
      </c>
      <c r="H20" s="181">
        <f>SUM(H14:H19)</f>
        <v>694717</v>
      </c>
      <c r="J20" s="55"/>
    </row>
    <row r="21" spans="2:12" ht="21" customHeight="1" x14ac:dyDescent="0.3">
      <c r="B21" s="47"/>
      <c r="E21" s="48"/>
      <c r="F21" s="54" t="s">
        <v>113</v>
      </c>
      <c r="G21" s="56"/>
      <c r="H21" s="181">
        <f>H20</f>
        <v>694717</v>
      </c>
      <c r="J21" s="55"/>
    </row>
    <row r="22" spans="2:12" ht="20.25" customHeight="1" x14ac:dyDescent="0.25">
      <c r="B22" s="47"/>
      <c r="E22" s="48"/>
      <c r="F22" s="57" t="s">
        <v>114</v>
      </c>
      <c r="G22" s="58"/>
      <c r="H22" s="59"/>
    </row>
    <row r="23" spans="2:12" ht="20.25" customHeight="1" x14ac:dyDescent="0.25">
      <c r="B23" s="47"/>
      <c r="E23" s="48"/>
      <c r="F23" s="57" t="s">
        <v>115</v>
      </c>
      <c r="G23" s="58"/>
      <c r="H23" s="59"/>
    </row>
    <row r="24" spans="2:12" ht="20.25" customHeight="1" x14ac:dyDescent="0.25">
      <c r="B24" s="47"/>
      <c r="E24" s="48"/>
      <c r="F24" s="54" t="s">
        <v>116</v>
      </c>
      <c r="G24" s="60"/>
      <c r="H24" s="59">
        <v>0</v>
      </c>
    </row>
    <row r="25" spans="2:12" ht="20.25" customHeight="1" x14ac:dyDescent="0.25">
      <c r="B25" s="47"/>
      <c r="E25" s="48"/>
      <c r="F25" s="54" t="s">
        <v>117</v>
      </c>
      <c r="G25" s="60"/>
      <c r="H25" s="59">
        <v>0</v>
      </c>
    </row>
    <row r="26" spans="2:12" ht="20.25" customHeight="1" thickBot="1" x14ac:dyDescent="0.3">
      <c r="B26" s="47"/>
      <c r="E26" s="48"/>
      <c r="F26" s="54" t="s">
        <v>118</v>
      </c>
      <c r="G26" s="58"/>
      <c r="H26" s="61">
        <v>0</v>
      </c>
    </row>
    <row r="27" spans="2:12" ht="20.25" customHeight="1" x14ac:dyDescent="0.25">
      <c r="B27" s="47"/>
      <c r="E27" s="48"/>
      <c r="F27" s="54"/>
      <c r="G27" s="58"/>
      <c r="H27" s="62">
        <f>H21-SUM(H24:H26)</f>
        <v>694717</v>
      </c>
    </row>
    <row r="28" spans="2:12" ht="20.25" customHeight="1" x14ac:dyDescent="0.25">
      <c r="B28" s="47"/>
      <c r="E28" s="48"/>
      <c r="F28" s="54" t="s">
        <v>119</v>
      </c>
      <c r="G28" s="58"/>
      <c r="H28" s="62">
        <f>ROUND((H27/10),0)*10</f>
        <v>694720</v>
      </c>
    </row>
    <row r="29" spans="2:12" ht="20.25" customHeight="1" x14ac:dyDescent="0.25">
      <c r="B29" s="47"/>
      <c r="E29" s="48"/>
      <c r="F29" s="54" t="s">
        <v>120</v>
      </c>
      <c r="G29" s="58"/>
      <c r="H29" s="62">
        <f>ROUND((IF(H28&lt;=300000,0,IF(H28&lt;=700000,(H28-300000)*0.05,IF(H28&lt;=1000000,20000+(H28-700000)*0.1,IF(H28&lt;=1200000,50000+(H28-1000000)*0.15,IF(H28&lt;=1500000,80000+(H28-1200000)*0.2,140000+(H28-1500000)*0.3)))))),0)</f>
        <v>19736</v>
      </c>
    </row>
    <row r="30" spans="2:12" ht="20.25" customHeight="1" thickBot="1" x14ac:dyDescent="0.3">
      <c r="B30" s="47"/>
      <c r="E30" s="48"/>
      <c r="F30" s="54" t="s">
        <v>121</v>
      </c>
      <c r="G30" s="58"/>
      <c r="H30" s="63">
        <f>IF(AND(H28&lt;=700000),MIN(H29,25000),0)</f>
        <v>19736</v>
      </c>
    </row>
    <row r="31" spans="2:12" ht="20.25" customHeight="1" x14ac:dyDescent="0.25">
      <c r="B31" s="47"/>
      <c r="E31" s="48"/>
      <c r="F31" s="54" t="s">
        <v>122</v>
      </c>
      <c r="G31" s="58"/>
      <c r="H31" s="62">
        <f>H29-H30</f>
        <v>0</v>
      </c>
    </row>
    <row r="32" spans="2:12" ht="20.25" customHeight="1" x14ac:dyDescent="0.25">
      <c r="B32" s="47"/>
      <c r="E32" s="48"/>
      <c r="F32" s="54" t="s">
        <v>132</v>
      </c>
      <c r="G32" s="58"/>
      <c r="H32" s="64">
        <v>0</v>
      </c>
    </row>
    <row r="33" spans="1:9" ht="20.25" customHeight="1" x14ac:dyDescent="0.25">
      <c r="B33" s="47"/>
      <c r="E33" s="48"/>
      <c r="F33" s="54"/>
      <c r="G33" s="58"/>
      <c r="H33" s="62">
        <f>H31-H32</f>
        <v>0</v>
      </c>
    </row>
    <row r="34" spans="1:9" ht="20.25" customHeight="1" thickBot="1" x14ac:dyDescent="0.3">
      <c r="B34" s="47"/>
      <c r="E34" s="48"/>
      <c r="F34" s="54" t="s">
        <v>123</v>
      </c>
      <c r="G34" s="58"/>
      <c r="H34" s="63">
        <f>ROUND((H31*0.04),0)</f>
        <v>0</v>
      </c>
    </row>
    <row r="35" spans="1:9" ht="20.25" customHeight="1" x14ac:dyDescent="0.25">
      <c r="B35" s="47"/>
      <c r="E35" s="48"/>
      <c r="F35" s="54"/>
      <c r="G35" s="58"/>
      <c r="H35" s="62">
        <f>H31+H34</f>
        <v>0</v>
      </c>
    </row>
    <row r="36" spans="1:9" ht="20.25" customHeight="1" x14ac:dyDescent="0.25">
      <c r="B36" s="47"/>
      <c r="E36" s="48"/>
      <c r="F36" s="54" t="s">
        <v>133</v>
      </c>
      <c r="G36" s="58"/>
      <c r="H36" s="62">
        <v>0</v>
      </c>
      <c r="I36" s="22">
        <f>600*0.06</f>
        <v>36</v>
      </c>
    </row>
    <row r="37" spans="1:9" ht="20.25" customHeight="1" x14ac:dyDescent="0.25">
      <c r="B37" s="47"/>
      <c r="E37" s="48"/>
      <c r="F37" s="54" t="s">
        <v>124</v>
      </c>
      <c r="G37" s="58"/>
      <c r="H37" s="64">
        <v>0</v>
      </c>
    </row>
    <row r="38" spans="1:9" ht="20.25" customHeight="1" x14ac:dyDescent="0.25">
      <c r="B38" s="47"/>
      <c r="E38" s="48"/>
      <c r="F38" s="54" t="s">
        <v>152</v>
      </c>
      <c r="G38" s="58"/>
      <c r="H38" s="62">
        <f>ROUND(((SUM(H35:H37))/10),0)*10</f>
        <v>0</v>
      </c>
    </row>
    <row r="39" spans="1:9" ht="20.25" customHeight="1" x14ac:dyDescent="0.25">
      <c r="B39" s="47"/>
      <c r="E39" s="48"/>
      <c r="F39" s="54" t="s">
        <v>224</v>
      </c>
      <c r="G39" s="58"/>
      <c r="H39" s="62">
        <f>+'Balance Sheet '!D42</f>
        <v>0</v>
      </c>
    </row>
    <row r="40" spans="1:9" ht="20.25" customHeight="1" thickBot="1" x14ac:dyDescent="0.3">
      <c r="B40" s="47"/>
      <c r="E40" s="48"/>
      <c r="F40" s="54" t="s">
        <v>125</v>
      </c>
      <c r="G40" s="58"/>
      <c r="H40" s="65">
        <v>0</v>
      </c>
    </row>
    <row r="41" spans="1:9" ht="18" customHeight="1" thickBot="1" x14ac:dyDescent="0.3">
      <c r="B41" s="66"/>
      <c r="C41" s="67"/>
      <c r="D41" s="67"/>
      <c r="E41" s="68"/>
      <c r="F41" s="69" t="s">
        <v>126</v>
      </c>
      <c r="G41" s="70"/>
      <c r="H41" s="71">
        <f>H38-H39-H40</f>
        <v>0</v>
      </c>
    </row>
    <row r="43" spans="1:9" x14ac:dyDescent="0.3">
      <c r="B43" s="72" t="s">
        <v>127</v>
      </c>
    </row>
    <row r="44" spans="1:9" x14ac:dyDescent="0.3">
      <c r="B44" s="22" t="s">
        <v>128</v>
      </c>
      <c r="D44" s="73">
        <f>+Notes!E53</f>
        <v>28241584</v>
      </c>
    </row>
    <row r="45" spans="1:9" x14ac:dyDescent="0.3">
      <c r="A45" s="74"/>
      <c r="B45" s="22" t="s">
        <v>129</v>
      </c>
      <c r="D45" s="73">
        <f>D44-D46</f>
        <v>27546946</v>
      </c>
    </row>
    <row r="46" spans="1:9" ht="17.25" thickBot="1" x14ac:dyDescent="0.35">
      <c r="A46" s="31"/>
      <c r="B46" s="31" t="s">
        <v>130</v>
      </c>
      <c r="C46" s="31"/>
      <c r="D46" s="75">
        <f>H15</f>
        <v>694638</v>
      </c>
      <c r="E46" s="115">
        <f>D46/D44</f>
        <v>2.4596283267964005E-2</v>
      </c>
    </row>
    <row r="47" spans="1:9" ht="17.25" thickTop="1" x14ac:dyDescent="0.3"/>
  </sheetData>
  <mergeCells count="8">
    <mergeCell ref="A1:H1"/>
    <mergeCell ref="B12:E12"/>
    <mergeCell ref="F12:G12"/>
    <mergeCell ref="A2:H2"/>
    <mergeCell ref="A3:H3"/>
    <mergeCell ref="A4:H4"/>
    <mergeCell ref="B10:H10"/>
    <mergeCell ref="B11:C11"/>
  </mergeCells>
  <pageMargins left="0.51" right="0.24" top="0.59" bottom="0.38" header="0.31" footer="0.25"/>
  <pageSetup paperSize="9" scale="9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1"/>
  <sheetViews>
    <sheetView showGridLines="0" view="pageBreakPreview" zoomScale="82" zoomScaleNormal="100" zoomScaleSheetLayoutView="82" workbookViewId="0">
      <selection activeCell="D45" sqref="D45"/>
    </sheetView>
  </sheetViews>
  <sheetFormatPr defaultColWidth="8.5703125" defaultRowHeight="16.5" x14ac:dyDescent="0.25"/>
  <cols>
    <col min="1" max="1" width="8.5703125" style="77"/>
    <col min="2" max="2" width="59.42578125" style="77" customWidth="1"/>
    <col min="3" max="3" width="8.42578125" style="122" customWidth="1"/>
    <col min="4" max="4" width="20.85546875" style="77" customWidth="1"/>
    <col min="5" max="5" width="21.5703125" style="77" customWidth="1"/>
    <col min="6" max="6" width="20.5703125" style="77" hidden="1" customWidth="1"/>
    <col min="7" max="7" width="15.7109375" style="77" bestFit="1" customWidth="1"/>
    <col min="8" max="8" width="12.85546875" style="123" bestFit="1" customWidth="1"/>
    <col min="9" max="11" width="8.5703125" style="77"/>
    <col min="12" max="12" width="13.42578125" style="77" bestFit="1" customWidth="1"/>
    <col min="13" max="14" width="8.5703125" style="77"/>
    <col min="15" max="15" width="16.28515625" style="77" bestFit="1" customWidth="1"/>
    <col min="16" max="16384" width="8.5703125" style="77"/>
  </cols>
  <sheetData>
    <row r="1" spans="1:15" x14ac:dyDescent="0.25">
      <c r="A1" s="331" t="s">
        <v>240</v>
      </c>
      <c r="B1" s="331"/>
      <c r="C1" s="331"/>
      <c r="D1" s="331"/>
      <c r="E1" s="331"/>
    </row>
    <row r="2" spans="1:15" x14ac:dyDescent="0.25">
      <c r="A2" s="332" t="s">
        <v>231</v>
      </c>
      <c r="B2" s="332"/>
      <c r="C2" s="332"/>
      <c r="D2" s="332"/>
      <c r="E2" s="332"/>
    </row>
    <row r="3" spans="1:15" ht="18" customHeight="1" x14ac:dyDescent="0.25">
      <c r="A3" s="331" t="str">
        <f>+'COMPUTATION '!A1:H1</f>
        <v>TALEP ALI</v>
      </c>
      <c r="B3" s="331"/>
      <c r="C3" s="331"/>
      <c r="D3" s="331"/>
      <c r="E3" s="331"/>
      <c r="F3" s="78"/>
      <c r="G3" s="78"/>
      <c r="H3" s="78"/>
    </row>
    <row r="4" spans="1:15" ht="18" customHeight="1" x14ac:dyDescent="0.25">
      <c r="A4" s="331" t="str">
        <f>+'COMPUTATION '!A2:H2</f>
        <v>C/O : SALEH UDDIN , VILL : NAGAJAN</v>
      </c>
      <c r="B4" s="331"/>
      <c r="C4" s="331"/>
      <c r="D4" s="331"/>
      <c r="E4" s="331"/>
      <c r="F4" s="78"/>
      <c r="G4" s="78"/>
      <c r="H4" s="78"/>
    </row>
    <row r="5" spans="1:15" ht="18" customHeight="1" x14ac:dyDescent="0.25">
      <c r="A5" s="331" t="str">
        <f>+'COMPUTATION '!A3:H3</f>
        <v>P.O : KHARUPETIA , DIST. : DARRANG</v>
      </c>
      <c r="B5" s="331"/>
      <c r="C5" s="331"/>
      <c r="D5" s="331"/>
      <c r="E5" s="331"/>
      <c r="F5" s="78"/>
      <c r="G5" s="78"/>
      <c r="H5" s="78"/>
    </row>
    <row r="6" spans="1:15" ht="18" customHeight="1" x14ac:dyDescent="0.25">
      <c r="A6" s="331" t="str">
        <f>+'COMPUTATION '!A4:H4</f>
        <v>STATE : ASSAM, PIN : 784115</v>
      </c>
      <c r="B6" s="331"/>
      <c r="C6" s="331"/>
      <c r="D6" s="331"/>
      <c r="E6" s="331"/>
      <c r="F6" s="78"/>
      <c r="G6" s="78"/>
      <c r="H6" s="78"/>
    </row>
    <row r="7" spans="1:15" ht="18" customHeight="1" x14ac:dyDescent="0.25"/>
    <row r="8" spans="1:15" ht="18" customHeight="1" x14ac:dyDescent="0.25">
      <c r="A8" s="100" t="s">
        <v>80</v>
      </c>
      <c r="B8" s="100"/>
      <c r="D8" s="100"/>
      <c r="E8" s="100"/>
      <c r="F8" s="100"/>
    </row>
    <row r="9" spans="1:15" ht="30" x14ac:dyDescent="0.25">
      <c r="A9" s="79"/>
      <c r="B9" s="124" t="s">
        <v>1</v>
      </c>
      <c r="C9" s="125" t="s">
        <v>24</v>
      </c>
      <c r="D9" s="126" t="s">
        <v>84</v>
      </c>
      <c r="E9" s="126" t="s">
        <v>23</v>
      </c>
      <c r="F9" s="127" t="s">
        <v>22</v>
      </c>
      <c r="G9" s="128" t="s">
        <v>85</v>
      </c>
      <c r="H9" s="129" t="s">
        <v>86</v>
      </c>
      <c r="I9" s="116"/>
      <c r="L9" s="208">
        <f>O9*0.06</f>
        <v>632126.03999999992</v>
      </c>
      <c r="O9" s="208">
        <v>10535434</v>
      </c>
    </row>
    <row r="10" spans="1:15" ht="18" customHeight="1" x14ac:dyDescent="0.25">
      <c r="A10" s="130" t="s">
        <v>29</v>
      </c>
      <c r="B10" s="131" t="s">
        <v>56</v>
      </c>
      <c r="C10" s="132"/>
      <c r="D10" s="133"/>
      <c r="E10" s="134"/>
      <c r="F10" s="135"/>
      <c r="G10" s="136"/>
      <c r="H10" s="137"/>
      <c r="L10" s="208">
        <f>O10*0.08</f>
        <v>87200</v>
      </c>
      <c r="O10" s="208">
        <v>1090000</v>
      </c>
    </row>
    <row r="11" spans="1:15" ht="18" customHeight="1" x14ac:dyDescent="0.25">
      <c r="A11" s="130" t="s">
        <v>30</v>
      </c>
      <c r="B11" s="138" t="s">
        <v>74</v>
      </c>
      <c r="C11" s="139"/>
      <c r="D11" s="140"/>
      <c r="E11" s="141"/>
      <c r="F11" s="142"/>
      <c r="G11" s="86"/>
      <c r="H11" s="143"/>
    </row>
    <row r="12" spans="1:15" ht="18" customHeight="1" x14ac:dyDescent="0.25">
      <c r="A12" s="130" t="s">
        <v>40</v>
      </c>
      <c r="B12" s="144" t="s">
        <v>75</v>
      </c>
      <c r="C12" s="139" t="s">
        <v>135</v>
      </c>
      <c r="D12" s="145">
        <f>+Notes!E14</f>
        <v>1360208</v>
      </c>
      <c r="E12" s="145">
        <f>+Notes!F14</f>
        <v>1065570</v>
      </c>
      <c r="F12" s="146">
        <v>100000</v>
      </c>
      <c r="G12" s="147">
        <f>D12-E12</f>
        <v>294638</v>
      </c>
      <c r="H12" s="148">
        <f>G12/E12</f>
        <v>0.27650740918006328</v>
      </c>
    </row>
    <row r="13" spans="1:15" ht="18" customHeight="1" x14ac:dyDescent="0.25">
      <c r="A13" s="130"/>
      <c r="B13" s="144"/>
      <c r="C13" s="149"/>
      <c r="D13" s="150">
        <f>SUM(D12:D12)</f>
        <v>1360208</v>
      </c>
      <c r="E13" s="150">
        <f>SUM(E12:E12)</f>
        <v>1065570</v>
      </c>
      <c r="F13" s="151">
        <f>SUM(F12:F12)</f>
        <v>100000</v>
      </c>
      <c r="G13" s="147">
        <f>D13-E13</f>
        <v>294638</v>
      </c>
      <c r="H13" s="148">
        <f t="shared" ref="H13:H47" si="0">G13/E13</f>
        <v>0.27650740918006328</v>
      </c>
    </row>
    <row r="14" spans="1:15" ht="18" customHeight="1" x14ac:dyDescent="0.25">
      <c r="A14" s="130">
        <v>2</v>
      </c>
      <c r="B14" s="152" t="s">
        <v>25</v>
      </c>
      <c r="C14" s="139"/>
      <c r="D14" s="153"/>
      <c r="E14" s="153"/>
      <c r="F14" s="154"/>
      <c r="G14" s="86"/>
      <c r="H14" s="148"/>
    </row>
    <row r="15" spans="1:15" ht="18" customHeight="1" x14ac:dyDescent="0.25">
      <c r="A15" s="130" t="s">
        <v>30</v>
      </c>
      <c r="B15" s="144" t="s">
        <v>26</v>
      </c>
      <c r="C15" s="139" t="s">
        <v>203</v>
      </c>
      <c r="D15" s="153">
        <f>+Notes!E23</f>
        <v>723999</v>
      </c>
      <c r="E15" s="153">
        <v>0</v>
      </c>
      <c r="F15" s="154">
        <v>0</v>
      </c>
      <c r="G15" s="147">
        <f t="shared" ref="G15:G47" si="1">D15-E15</f>
        <v>723999</v>
      </c>
      <c r="H15" s="148"/>
    </row>
    <row r="16" spans="1:15" ht="18" customHeight="1" x14ac:dyDescent="0.25">
      <c r="A16" s="130" t="s">
        <v>54</v>
      </c>
      <c r="B16" s="144" t="s">
        <v>27</v>
      </c>
      <c r="C16" s="139"/>
      <c r="D16" s="153">
        <v>0</v>
      </c>
      <c r="E16" s="153">
        <v>0</v>
      </c>
      <c r="F16" s="154">
        <v>0</v>
      </c>
      <c r="G16" s="147">
        <f t="shared" si="1"/>
        <v>0</v>
      </c>
      <c r="H16" s="148"/>
    </row>
    <row r="17" spans="1:8" ht="18" customHeight="1" x14ac:dyDescent="0.25">
      <c r="A17" s="130" t="s">
        <v>33</v>
      </c>
      <c r="B17" s="144" t="s">
        <v>28</v>
      </c>
      <c r="C17" s="139"/>
      <c r="D17" s="153">
        <v>0</v>
      </c>
      <c r="E17" s="153">
        <v>0</v>
      </c>
      <c r="F17" s="154">
        <v>0</v>
      </c>
      <c r="G17" s="147">
        <f t="shared" si="1"/>
        <v>0</v>
      </c>
      <c r="H17" s="148"/>
    </row>
    <row r="18" spans="1:8" ht="18" customHeight="1" x14ac:dyDescent="0.25">
      <c r="A18" s="130"/>
      <c r="B18" s="155"/>
      <c r="C18" s="139"/>
      <c r="D18" s="156">
        <f>SUM(D15:D17)</f>
        <v>723999</v>
      </c>
      <c r="E18" s="156">
        <f>SUM(E15:E17)</f>
        <v>0</v>
      </c>
      <c r="F18" s="156">
        <f>SUM(F15:F17)</f>
        <v>0</v>
      </c>
      <c r="G18" s="147">
        <f t="shared" si="1"/>
        <v>723999</v>
      </c>
      <c r="H18" s="148"/>
    </row>
    <row r="19" spans="1:8" ht="18" customHeight="1" x14ac:dyDescent="0.25">
      <c r="A19" s="130">
        <v>3</v>
      </c>
      <c r="B19" s="138" t="s">
        <v>19</v>
      </c>
      <c r="C19" s="139"/>
      <c r="D19" s="157"/>
      <c r="E19" s="141"/>
      <c r="F19" s="158"/>
      <c r="G19" s="147">
        <f t="shared" si="1"/>
        <v>0</v>
      </c>
      <c r="H19" s="148"/>
    </row>
    <row r="20" spans="1:8" ht="18" customHeight="1" x14ac:dyDescent="0.25">
      <c r="A20" s="130" t="s">
        <v>30</v>
      </c>
      <c r="B20" s="144" t="s">
        <v>34</v>
      </c>
      <c r="C20" s="139" t="s">
        <v>206</v>
      </c>
      <c r="D20" s="157">
        <f>+Notes!E27</f>
        <v>795461</v>
      </c>
      <c r="E20" s="157">
        <v>0</v>
      </c>
      <c r="F20" s="158">
        <v>0</v>
      </c>
      <c r="G20" s="147">
        <f t="shared" si="1"/>
        <v>795461</v>
      </c>
      <c r="H20" s="148"/>
    </row>
    <row r="21" spans="1:8" ht="18" customHeight="1" x14ac:dyDescent="0.25">
      <c r="A21" s="130" t="s">
        <v>31</v>
      </c>
      <c r="B21" s="152" t="s">
        <v>35</v>
      </c>
      <c r="C21" s="139"/>
      <c r="D21" s="153">
        <v>0</v>
      </c>
      <c r="E21" s="157"/>
      <c r="F21" s="158">
        <v>0</v>
      </c>
      <c r="G21" s="147">
        <f t="shared" si="1"/>
        <v>0</v>
      </c>
      <c r="H21" s="148"/>
    </row>
    <row r="22" spans="1:8" ht="30" customHeight="1" x14ac:dyDescent="0.25">
      <c r="A22" s="130" t="s">
        <v>40</v>
      </c>
      <c r="B22" s="159" t="s">
        <v>36</v>
      </c>
      <c r="C22" s="139"/>
      <c r="D22" s="153">
        <v>22458</v>
      </c>
      <c r="E22" s="157">
        <v>45620</v>
      </c>
      <c r="F22" s="158">
        <v>0</v>
      </c>
      <c r="G22" s="147">
        <f t="shared" si="1"/>
        <v>-23162</v>
      </c>
      <c r="H22" s="148"/>
    </row>
    <row r="23" spans="1:8" ht="30" customHeight="1" x14ac:dyDescent="0.25">
      <c r="A23" s="130" t="s">
        <v>41</v>
      </c>
      <c r="B23" s="159" t="s">
        <v>37</v>
      </c>
      <c r="C23" s="139"/>
      <c r="D23" s="153">
        <v>0</v>
      </c>
      <c r="E23" s="157">
        <v>0</v>
      </c>
      <c r="F23" s="158">
        <v>0</v>
      </c>
      <c r="G23" s="147">
        <f t="shared" si="1"/>
        <v>0</v>
      </c>
      <c r="H23" s="148"/>
    </row>
    <row r="24" spans="1:8" ht="18" customHeight="1" x14ac:dyDescent="0.25">
      <c r="A24" s="130" t="s">
        <v>45</v>
      </c>
      <c r="B24" s="144" t="s">
        <v>38</v>
      </c>
      <c r="C24" s="139"/>
      <c r="D24" s="157">
        <v>0</v>
      </c>
      <c r="E24" s="157">
        <v>0</v>
      </c>
      <c r="F24" s="158">
        <v>0</v>
      </c>
      <c r="G24" s="147">
        <f t="shared" si="1"/>
        <v>0</v>
      </c>
      <c r="H24" s="148"/>
    </row>
    <row r="25" spans="1:8" ht="18" customHeight="1" x14ac:dyDescent="0.25">
      <c r="A25" s="130" t="s">
        <v>32</v>
      </c>
      <c r="B25" s="144" t="s">
        <v>39</v>
      </c>
      <c r="C25" s="139" t="s">
        <v>212</v>
      </c>
      <c r="D25" s="153">
        <f>+Notes!E31</f>
        <v>10000</v>
      </c>
      <c r="E25" s="153">
        <v>0</v>
      </c>
      <c r="F25" s="154">
        <v>11000</v>
      </c>
      <c r="G25" s="147">
        <f t="shared" si="1"/>
        <v>10000</v>
      </c>
      <c r="H25" s="148"/>
    </row>
    <row r="26" spans="1:8" ht="18" customHeight="1" x14ac:dyDescent="0.25">
      <c r="A26" s="130"/>
      <c r="B26" s="160"/>
      <c r="C26" s="139"/>
      <c r="D26" s="151">
        <f>SUM(D20:D25)</f>
        <v>827919</v>
      </c>
      <c r="E26" s="151">
        <f>SUM(E20:E25)</f>
        <v>45620</v>
      </c>
      <c r="F26" s="151">
        <f t="shared" ref="F26" si="2">SUM(F20:F25)</f>
        <v>11000</v>
      </c>
      <c r="G26" s="147">
        <f t="shared" si="1"/>
        <v>782299</v>
      </c>
      <c r="H26" s="148">
        <f t="shared" si="0"/>
        <v>17.148158702323542</v>
      </c>
    </row>
    <row r="27" spans="1:8" ht="18" customHeight="1" thickBot="1" x14ac:dyDescent="0.3">
      <c r="A27" s="79"/>
      <c r="B27" s="333" t="s">
        <v>10</v>
      </c>
      <c r="C27" s="334"/>
      <c r="D27" s="161">
        <f>D26+D18+D13</f>
        <v>2912126</v>
      </c>
      <c r="E27" s="161">
        <f>E13+E18+E26</f>
        <v>1111190</v>
      </c>
      <c r="F27" s="161">
        <f>F26+F18+F13</f>
        <v>111000</v>
      </c>
      <c r="G27" s="147">
        <f t="shared" si="1"/>
        <v>1800936</v>
      </c>
      <c r="H27" s="148">
        <f t="shared" si="0"/>
        <v>1.6207273283596864</v>
      </c>
    </row>
    <row r="28" spans="1:8" ht="18" customHeight="1" thickTop="1" x14ac:dyDescent="0.25">
      <c r="A28" s="130" t="s">
        <v>42</v>
      </c>
      <c r="B28" s="100" t="s">
        <v>57</v>
      </c>
      <c r="C28" s="139"/>
      <c r="D28" s="157"/>
      <c r="E28" s="158"/>
      <c r="F28" s="157"/>
      <c r="G28" s="147">
        <f t="shared" si="1"/>
        <v>0</v>
      </c>
      <c r="H28" s="148"/>
    </row>
    <row r="29" spans="1:8" ht="18" customHeight="1" x14ac:dyDescent="0.25">
      <c r="A29" s="130">
        <v>1</v>
      </c>
      <c r="B29" s="100" t="s">
        <v>43</v>
      </c>
      <c r="C29" s="139"/>
      <c r="D29" s="157"/>
      <c r="E29" s="158"/>
      <c r="F29" s="157"/>
      <c r="G29" s="147">
        <f t="shared" si="1"/>
        <v>0</v>
      </c>
      <c r="H29" s="148"/>
    </row>
    <row r="30" spans="1:8" x14ac:dyDescent="0.25">
      <c r="A30" s="130" t="s">
        <v>30</v>
      </c>
      <c r="B30" s="237" t="s">
        <v>76</v>
      </c>
      <c r="C30" s="139" t="s">
        <v>207</v>
      </c>
      <c r="D30" s="157"/>
      <c r="E30" s="158"/>
      <c r="F30" s="162">
        <v>0</v>
      </c>
      <c r="G30" s="147">
        <f t="shared" si="1"/>
        <v>0</v>
      </c>
      <c r="H30" s="148"/>
    </row>
    <row r="31" spans="1:8" x14ac:dyDescent="0.25">
      <c r="A31" s="130"/>
      <c r="B31" s="116" t="s">
        <v>81</v>
      </c>
      <c r="C31" s="139"/>
      <c r="D31" s="157">
        <f>+FA!H22</f>
        <v>42836</v>
      </c>
      <c r="E31" s="158">
        <f>32805+15660</f>
        <v>48465</v>
      </c>
      <c r="F31" s="162"/>
      <c r="G31" s="147">
        <f t="shared" si="1"/>
        <v>-5629</v>
      </c>
      <c r="H31" s="148">
        <f t="shared" si="0"/>
        <v>-0.11614567213453007</v>
      </c>
    </row>
    <row r="32" spans="1:8" x14ac:dyDescent="0.25">
      <c r="A32" s="130"/>
      <c r="B32" s="116" t="s">
        <v>82</v>
      </c>
      <c r="C32" s="139"/>
      <c r="D32" s="157">
        <f>+FA!I22</f>
        <v>4950</v>
      </c>
      <c r="E32" s="158">
        <v>5630</v>
      </c>
      <c r="F32" s="162"/>
      <c r="G32" s="147">
        <f t="shared" si="1"/>
        <v>-680</v>
      </c>
      <c r="H32" s="148">
        <f t="shared" si="0"/>
        <v>-0.12078152753108348</v>
      </c>
    </row>
    <row r="33" spans="1:8" ht="18" customHeight="1" x14ac:dyDescent="0.25">
      <c r="A33" s="130"/>
      <c r="B33" s="100" t="s">
        <v>83</v>
      </c>
      <c r="C33" s="163"/>
      <c r="D33" s="182">
        <f>D31-D32</f>
        <v>37886</v>
      </c>
      <c r="E33" s="182">
        <f>E31-E32</f>
        <v>42835</v>
      </c>
      <c r="F33" s="162">
        <v>0</v>
      </c>
      <c r="G33" s="147">
        <f t="shared" si="1"/>
        <v>-4949</v>
      </c>
      <c r="H33" s="148">
        <f t="shared" si="0"/>
        <v>-0.11553636045290067</v>
      </c>
    </row>
    <row r="34" spans="1:8" ht="18" customHeight="1" x14ac:dyDescent="0.25">
      <c r="A34" s="130" t="s">
        <v>31</v>
      </c>
      <c r="B34" s="77" t="s">
        <v>44</v>
      </c>
      <c r="C34" s="139"/>
      <c r="D34" s="157">
        <v>0</v>
      </c>
      <c r="E34" s="158">
        <v>0</v>
      </c>
      <c r="F34" s="162">
        <v>0</v>
      </c>
      <c r="G34" s="147">
        <f t="shared" si="1"/>
        <v>0</v>
      </c>
      <c r="H34" s="148"/>
    </row>
    <row r="35" spans="1:8" ht="18" customHeight="1" x14ac:dyDescent="0.25">
      <c r="A35" s="130" t="s">
        <v>45</v>
      </c>
      <c r="B35" s="77" t="s">
        <v>46</v>
      </c>
      <c r="C35" s="139"/>
      <c r="D35" s="157">
        <v>0</v>
      </c>
      <c r="E35" s="158">
        <v>0</v>
      </c>
      <c r="F35" s="162">
        <v>0</v>
      </c>
      <c r="G35" s="147">
        <f t="shared" si="1"/>
        <v>0</v>
      </c>
      <c r="H35" s="148"/>
    </row>
    <row r="36" spans="1:8" ht="18" customHeight="1" x14ac:dyDescent="0.25">
      <c r="A36" s="130" t="s">
        <v>32</v>
      </c>
      <c r="B36" s="77" t="s">
        <v>48</v>
      </c>
      <c r="C36" s="139" t="s">
        <v>214</v>
      </c>
      <c r="D36" s="158">
        <f>+Notes!E35</f>
        <v>0</v>
      </c>
      <c r="E36" s="158">
        <v>0</v>
      </c>
      <c r="F36" s="162">
        <v>0</v>
      </c>
      <c r="G36" s="147">
        <f t="shared" si="1"/>
        <v>0</v>
      </c>
      <c r="H36" s="148"/>
    </row>
    <row r="37" spans="1:8" ht="18" customHeight="1" x14ac:dyDescent="0.25">
      <c r="A37" s="130"/>
      <c r="B37" s="100"/>
      <c r="C37" s="139"/>
      <c r="D37" s="183">
        <f>D36</f>
        <v>0</v>
      </c>
      <c r="E37" s="183">
        <f>E36</f>
        <v>0</v>
      </c>
      <c r="F37" s="156">
        <f>SUM(F30:F36)</f>
        <v>0</v>
      </c>
      <c r="G37" s="147">
        <f t="shared" si="1"/>
        <v>0</v>
      </c>
      <c r="H37" s="148" t="e">
        <f t="shared" si="0"/>
        <v>#DIV/0!</v>
      </c>
    </row>
    <row r="38" spans="1:8" ht="18" customHeight="1" x14ac:dyDescent="0.25">
      <c r="A38" s="130">
        <v>2</v>
      </c>
      <c r="B38" s="138" t="s">
        <v>17</v>
      </c>
      <c r="C38" s="164"/>
      <c r="D38" s="141"/>
      <c r="E38" s="158"/>
      <c r="F38" s="157"/>
      <c r="G38" s="147">
        <f t="shared" si="1"/>
        <v>0</v>
      </c>
      <c r="H38" s="148"/>
    </row>
    <row r="39" spans="1:8" ht="18" customHeight="1" x14ac:dyDescent="0.25">
      <c r="A39" s="130" t="s">
        <v>30</v>
      </c>
      <c r="B39" s="144" t="s">
        <v>49</v>
      </c>
      <c r="C39" s="139"/>
      <c r="D39" s="158">
        <v>0</v>
      </c>
      <c r="E39" s="158">
        <v>0</v>
      </c>
      <c r="F39" s="162">
        <v>0</v>
      </c>
      <c r="G39" s="147">
        <f t="shared" si="1"/>
        <v>0</v>
      </c>
      <c r="H39" s="148"/>
    </row>
    <row r="40" spans="1:8" ht="18" customHeight="1" x14ac:dyDescent="0.25">
      <c r="A40" s="130" t="s">
        <v>31</v>
      </c>
      <c r="B40" s="144" t="s">
        <v>50</v>
      </c>
      <c r="C40" s="139"/>
      <c r="D40" s="153">
        <f>+Notes!E61</f>
        <v>2195620</v>
      </c>
      <c r="E40" s="153">
        <f>+Notes!F61</f>
        <v>698920</v>
      </c>
      <c r="F40" s="162">
        <v>0</v>
      </c>
      <c r="G40" s="147">
        <f t="shared" si="1"/>
        <v>1496700</v>
      </c>
      <c r="H40" s="148">
        <f t="shared" si="0"/>
        <v>2.1414468036399015</v>
      </c>
    </row>
    <row r="41" spans="1:8" ht="18" customHeight="1" x14ac:dyDescent="0.25">
      <c r="A41" s="130" t="s">
        <v>45</v>
      </c>
      <c r="B41" s="144" t="s">
        <v>51</v>
      </c>
      <c r="C41" s="139"/>
      <c r="D41" s="153">
        <v>531410</v>
      </c>
      <c r="E41" s="158">
        <v>213460</v>
      </c>
      <c r="F41" s="162">
        <v>0</v>
      </c>
      <c r="G41" s="147">
        <f t="shared" si="1"/>
        <v>317950</v>
      </c>
      <c r="H41" s="148">
        <f t="shared" si="0"/>
        <v>1.4895062306755364</v>
      </c>
    </row>
    <row r="42" spans="1:8" ht="18" customHeight="1" x14ac:dyDescent="0.25">
      <c r="A42" s="130" t="s">
        <v>32</v>
      </c>
      <c r="B42" s="144" t="s">
        <v>216</v>
      </c>
      <c r="C42" s="139" t="s">
        <v>210</v>
      </c>
      <c r="D42" s="158">
        <f>+Notes!E40</f>
        <v>0</v>
      </c>
      <c r="E42" s="158">
        <f>+Notes!F40</f>
        <v>0</v>
      </c>
      <c r="F42" s="162"/>
      <c r="G42" s="147"/>
      <c r="H42" s="148"/>
    </row>
    <row r="43" spans="1:8" ht="18" customHeight="1" x14ac:dyDescent="0.25">
      <c r="A43" s="130" t="s">
        <v>47</v>
      </c>
      <c r="B43" s="144" t="s">
        <v>52</v>
      </c>
      <c r="C43" s="139"/>
      <c r="D43" s="153">
        <v>0</v>
      </c>
      <c r="E43" s="158"/>
      <c r="F43" s="162">
        <v>0</v>
      </c>
      <c r="G43" s="147">
        <f t="shared" si="1"/>
        <v>0</v>
      </c>
      <c r="H43" s="148"/>
    </row>
    <row r="44" spans="1:8" ht="18" customHeight="1" x14ac:dyDescent="0.25">
      <c r="A44" s="207" t="s">
        <v>161</v>
      </c>
      <c r="B44" s="211" t="s">
        <v>184</v>
      </c>
      <c r="C44" s="139" t="s">
        <v>211</v>
      </c>
      <c r="D44" s="158">
        <f>+Notes!E47</f>
        <v>32280</v>
      </c>
      <c r="E44" s="158">
        <f>+Notes!F47</f>
        <v>0</v>
      </c>
      <c r="F44" s="162">
        <v>0</v>
      </c>
      <c r="G44" s="147">
        <f t="shared" si="1"/>
        <v>32280</v>
      </c>
      <c r="H44" s="148"/>
    </row>
    <row r="45" spans="1:8" ht="18" customHeight="1" x14ac:dyDescent="0.25">
      <c r="A45" s="206" t="s">
        <v>159</v>
      </c>
      <c r="B45" s="211" t="s">
        <v>213</v>
      </c>
      <c r="C45" s="139"/>
      <c r="D45" s="157">
        <f>D27-SUM(D39:D44)-D37-D33</f>
        <v>114930</v>
      </c>
      <c r="E45" s="157">
        <v>155975</v>
      </c>
      <c r="F45" s="162"/>
      <c r="G45" s="147">
        <f t="shared" si="1"/>
        <v>-41045</v>
      </c>
      <c r="H45" s="148">
        <f t="shared" si="0"/>
        <v>-0.26315114601698991</v>
      </c>
    </row>
    <row r="46" spans="1:8" ht="18" customHeight="1" x14ac:dyDescent="0.25">
      <c r="A46" s="207"/>
      <c r="B46" s="212"/>
      <c r="C46" s="165"/>
      <c r="D46" s="184">
        <f>SUM(D39:D45)</f>
        <v>2874240</v>
      </c>
      <c r="E46" s="184">
        <f>SUM(E39:E45)</f>
        <v>1068355</v>
      </c>
      <c r="F46" s="151">
        <f>SUM(F39:F44)</f>
        <v>0</v>
      </c>
      <c r="G46" s="147">
        <f t="shared" si="1"/>
        <v>1805885</v>
      </c>
      <c r="H46" s="148">
        <f t="shared" si="0"/>
        <v>1.6903416935381965</v>
      </c>
    </row>
    <row r="47" spans="1:8" ht="18" customHeight="1" thickBot="1" x14ac:dyDescent="0.3">
      <c r="A47" s="79"/>
      <c r="B47" s="333" t="s">
        <v>53</v>
      </c>
      <c r="C47" s="334"/>
      <c r="D47" s="166">
        <f>D46+D37+D33</f>
        <v>2912126</v>
      </c>
      <c r="E47" s="161">
        <f>E37+E46+E33</f>
        <v>1111190</v>
      </c>
      <c r="F47" s="161">
        <f>F46+F37</f>
        <v>0</v>
      </c>
      <c r="G47" s="167">
        <f t="shared" si="1"/>
        <v>1800936</v>
      </c>
      <c r="H47" s="168">
        <f t="shared" si="0"/>
        <v>1.6207273283596864</v>
      </c>
    </row>
    <row r="48" spans="1:8" ht="18" customHeight="1" thickTop="1" x14ac:dyDescent="0.25">
      <c r="A48" s="169"/>
      <c r="B48" s="170"/>
      <c r="C48" s="117"/>
      <c r="D48" s="138">
        <f>D27-D47</f>
        <v>0</v>
      </c>
      <c r="E48" s="138">
        <f>E27-E47</f>
        <v>0</v>
      </c>
      <c r="F48" s="138"/>
    </row>
    <row r="49" spans="1:11" ht="18" customHeight="1" x14ac:dyDescent="0.25">
      <c r="A49" s="119" t="s">
        <v>155</v>
      </c>
      <c r="B49" s="169"/>
      <c r="C49" s="117"/>
      <c r="D49" s="171" t="s">
        <v>157</v>
      </c>
      <c r="E49" s="118"/>
      <c r="F49" s="171"/>
    </row>
    <row r="50" spans="1:11" ht="18" customHeight="1" x14ac:dyDescent="0.25">
      <c r="A50" s="119"/>
      <c r="B50" s="169"/>
      <c r="C50" s="117"/>
      <c r="D50" s="171"/>
      <c r="E50" s="118"/>
      <c r="F50" s="171"/>
    </row>
    <row r="51" spans="1:11" ht="18" customHeight="1" x14ac:dyDescent="0.25">
      <c r="A51" s="138"/>
      <c r="C51" s="202"/>
      <c r="E51" s="121"/>
      <c r="F51" s="121" t="s">
        <v>18</v>
      </c>
    </row>
    <row r="52" spans="1:11" s="100" customFormat="1" ht="18" customHeight="1" x14ac:dyDescent="0.25">
      <c r="C52" s="202"/>
      <c r="E52" s="201"/>
      <c r="F52" s="201"/>
      <c r="G52" s="201"/>
      <c r="H52" s="201"/>
      <c r="I52" s="201"/>
      <c r="J52" s="201"/>
      <c r="K52" s="201"/>
    </row>
    <row r="53" spans="1:11" ht="18" customHeight="1" x14ac:dyDescent="0.25">
      <c r="A53" s="138" t="s">
        <v>304</v>
      </c>
      <c r="B53" s="100"/>
      <c r="C53" s="202"/>
    </row>
    <row r="54" spans="1:11" ht="18" customHeight="1" x14ac:dyDescent="0.25">
      <c r="A54" s="171" t="s">
        <v>217</v>
      </c>
      <c r="C54" s="202"/>
    </row>
    <row r="55" spans="1:11" ht="18" customHeight="1" x14ac:dyDescent="0.25">
      <c r="A55" s="171" t="s">
        <v>305</v>
      </c>
      <c r="C55" s="117"/>
      <c r="F55" s="121" t="s">
        <v>20</v>
      </c>
    </row>
    <row r="56" spans="1:11" ht="18" customHeight="1" x14ac:dyDescent="0.25">
      <c r="A56" s="171"/>
      <c r="C56" s="117"/>
      <c r="F56" s="121"/>
    </row>
    <row r="57" spans="1:11" ht="18" customHeight="1" x14ac:dyDescent="0.25">
      <c r="A57" s="138" t="s">
        <v>306</v>
      </c>
      <c r="C57" s="117"/>
      <c r="D57" s="100" t="s">
        <v>241</v>
      </c>
      <c r="F57" s="121"/>
    </row>
    <row r="58" spans="1:11" ht="18" customHeight="1" x14ac:dyDescent="0.25">
      <c r="A58" s="171" t="s">
        <v>218</v>
      </c>
      <c r="C58" s="117"/>
      <c r="D58" s="203" t="s">
        <v>94</v>
      </c>
      <c r="F58" s="121"/>
    </row>
    <row r="59" spans="1:11" ht="18" customHeight="1" x14ac:dyDescent="0.25">
      <c r="A59" s="171" t="s">
        <v>307</v>
      </c>
      <c r="C59" s="117"/>
      <c r="D59" s="204" t="s">
        <v>242</v>
      </c>
      <c r="F59" s="121"/>
    </row>
    <row r="60" spans="1:11" ht="18" customHeight="1" x14ac:dyDescent="0.25">
      <c r="A60" s="171" t="s">
        <v>309</v>
      </c>
      <c r="C60" s="117"/>
      <c r="D60" s="259" t="s">
        <v>131</v>
      </c>
      <c r="F60" s="121"/>
    </row>
    <row r="61" spans="1:11" ht="18" customHeight="1" x14ac:dyDescent="0.25">
      <c r="A61" s="138" t="s">
        <v>308</v>
      </c>
      <c r="C61" s="117"/>
      <c r="D61" s="259" t="s">
        <v>310</v>
      </c>
      <c r="F61" s="121" t="s">
        <v>21</v>
      </c>
    </row>
    <row r="62" spans="1:11" ht="18" customHeight="1" x14ac:dyDescent="0.25">
      <c r="A62" s="138"/>
      <c r="C62" s="117"/>
      <c r="D62" s="171"/>
    </row>
    <row r="63" spans="1:11" ht="18" customHeight="1" x14ac:dyDescent="0.25">
      <c r="A63" s="138"/>
      <c r="C63" s="117"/>
      <c r="D63" s="171"/>
    </row>
    <row r="64" spans="1:11" ht="18" customHeight="1" x14ac:dyDescent="0.25">
      <c r="A64" s="171"/>
      <c r="C64" s="117"/>
      <c r="D64" s="171"/>
    </row>
    <row r="65" spans="1:6" ht="18" customHeight="1" x14ac:dyDescent="0.25">
      <c r="A65" s="171"/>
      <c r="C65" s="121"/>
      <c r="D65" s="171"/>
      <c r="E65" s="121"/>
      <c r="F65" s="121" t="s">
        <v>15</v>
      </c>
    </row>
    <row r="66" spans="1:6" ht="18" customHeight="1" x14ac:dyDescent="0.25">
      <c r="A66" s="171"/>
      <c r="C66" s="121"/>
      <c r="D66" s="171"/>
      <c r="E66" s="121"/>
      <c r="F66" s="121" t="s">
        <v>16</v>
      </c>
    </row>
    <row r="67" spans="1:6" ht="18" customHeight="1" x14ac:dyDescent="0.25">
      <c r="A67" s="171"/>
      <c r="C67" s="117"/>
      <c r="D67" s="171"/>
    </row>
    <row r="68" spans="1:6" ht="18" customHeight="1" x14ac:dyDescent="0.25">
      <c r="A68" s="144"/>
    </row>
    <row r="69" spans="1:6" ht="18" customHeight="1" x14ac:dyDescent="0.25"/>
    <row r="70" spans="1:6" ht="18" customHeight="1" x14ac:dyDescent="0.25"/>
    <row r="71" spans="1:6" ht="18" customHeight="1" x14ac:dyDescent="0.25"/>
    <row r="72" spans="1:6" ht="18" customHeight="1" x14ac:dyDescent="0.25"/>
    <row r="73" spans="1:6" ht="18" customHeight="1" x14ac:dyDescent="0.25"/>
    <row r="74" spans="1:6" ht="18" customHeight="1" x14ac:dyDescent="0.25"/>
    <row r="75" spans="1:6" ht="18" customHeight="1" x14ac:dyDescent="0.25"/>
    <row r="76" spans="1:6" ht="18" customHeight="1" x14ac:dyDescent="0.25"/>
    <row r="77" spans="1:6" ht="18" customHeight="1" x14ac:dyDescent="0.25"/>
    <row r="78" spans="1:6" ht="18" customHeight="1" x14ac:dyDescent="0.25"/>
    <row r="79" spans="1:6" ht="18" customHeight="1" x14ac:dyDescent="0.25"/>
    <row r="80" spans="1:6"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row r="89" ht="18" customHeight="1" x14ac:dyDescent="0.25"/>
    <row r="90" ht="18" customHeight="1" x14ac:dyDescent="0.25"/>
    <row r="91" ht="18" customHeight="1" x14ac:dyDescent="0.25"/>
  </sheetData>
  <mergeCells count="8">
    <mergeCell ref="A1:E1"/>
    <mergeCell ref="A2:E2"/>
    <mergeCell ref="B27:C27"/>
    <mergeCell ref="B47:C47"/>
    <mergeCell ref="A3:E3"/>
    <mergeCell ref="A4:E4"/>
    <mergeCell ref="A5:E5"/>
    <mergeCell ref="A6:E6"/>
  </mergeCells>
  <conditionalFormatting sqref="H4:H1048576">
    <cfRule type="cellIs" dxfId="0" priority="1" operator="lessThan">
      <formula>0</formula>
    </cfRule>
  </conditionalFormatting>
  <printOptions horizontalCentered="1"/>
  <pageMargins left="0.18" right="0.05" top="0.73" bottom="0.74803149606299202" header="0.31496062992126" footer="0.31496062992126"/>
  <pageSetup paperSize="9" scale="6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7"/>
  <sheetViews>
    <sheetView tabSelected="1" view="pageBreakPreview" zoomScale="107" zoomScaleNormal="100" workbookViewId="0">
      <selection activeCell="H20" sqref="H20"/>
    </sheetView>
  </sheetViews>
  <sheetFormatPr defaultRowHeight="15" x14ac:dyDescent="0.25"/>
  <cols>
    <col min="2" max="2" width="40.7109375" customWidth="1"/>
    <col min="3" max="3" width="13.28515625" customWidth="1"/>
    <col min="4" max="4" width="16" customWidth="1"/>
    <col min="5" max="5" width="16.7109375" customWidth="1"/>
  </cols>
  <sheetData>
    <row r="1" spans="1:6" ht="15.75" x14ac:dyDescent="0.3">
      <c r="A1" s="335" t="str">
        <f>+'Balance Sheet '!A1:E1</f>
        <v>TALEP VEGETABLE SHOP</v>
      </c>
      <c r="B1" s="335"/>
      <c r="C1" s="335"/>
      <c r="D1" s="335"/>
      <c r="E1" s="335"/>
      <c r="F1" s="262"/>
    </row>
    <row r="2" spans="1:6" ht="15.75" x14ac:dyDescent="0.3">
      <c r="A2" s="335" t="str">
        <f>+'Balance Sheet '!A2:E2</f>
        <v>Prop:-</v>
      </c>
      <c r="B2" s="335"/>
      <c r="C2" s="335"/>
      <c r="D2" s="335"/>
      <c r="E2" s="335"/>
      <c r="F2" s="263"/>
    </row>
    <row r="3" spans="1:6" ht="15.75" x14ac:dyDescent="0.3">
      <c r="A3" s="335" t="str">
        <f>+'Balance Sheet '!A3:E3</f>
        <v>TALEP ALI</v>
      </c>
      <c r="B3" s="335"/>
      <c r="C3" s="335"/>
      <c r="D3" s="335"/>
      <c r="E3" s="335"/>
      <c r="F3" s="263"/>
    </row>
    <row r="4" spans="1:6" ht="15.75" x14ac:dyDescent="0.3">
      <c r="A4" s="335" t="str">
        <f>+'Balance Sheet '!A4:E4</f>
        <v>C/O : SALEH UDDIN , VILL : NAGAJAN</v>
      </c>
      <c r="B4" s="335"/>
      <c r="C4" s="335"/>
      <c r="D4" s="335"/>
      <c r="E4" s="335"/>
      <c r="F4" s="263"/>
    </row>
    <row r="5" spans="1:6" ht="15.75" x14ac:dyDescent="0.3">
      <c r="A5" s="335" t="str">
        <f>+'Balance Sheet '!A5:E5</f>
        <v>P.O : KHARUPETIA , DIST. : DARRANG</v>
      </c>
      <c r="B5" s="335"/>
      <c r="C5" s="335"/>
      <c r="D5" s="335"/>
      <c r="E5" s="335"/>
      <c r="F5" s="263"/>
    </row>
    <row r="6" spans="1:6" ht="15.75" x14ac:dyDescent="0.3">
      <c r="A6" s="335" t="str">
        <f>+'Balance Sheet '!A6:E6</f>
        <v>STATE : ASSAM, PIN : 784115</v>
      </c>
      <c r="B6" s="335"/>
      <c r="C6" s="335"/>
      <c r="D6" s="335"/>
      <c r="E6" s="335"/>
      <c r="F6" s="263"/>
    </row>
    <row r="7" spans="1:6" ht="15.75" x14ac:dyDescent="0.3">
      <c r="A7" s="264" t="s">
        <v>256</v>
      </c>
      <c r="B7" s="265"/>
      <c r="C7" s="265"/>
      <c r="D7" s="266"/>
      <c r="E7" s="266"/>
      <c r="F7" s="263"/>
    </row>
    <row r="8" spans="1:6" ht="15.75" x14ac:dyDescent="0.3">
      <c r="A8" s="267"/>
      <c r="B8" s="268" t="s">
        <v>1</v>
      </c>
      <c r="C8" s="269" t="s">
        <v>257</v>
      </c>
      <c r="D8" s="270" t="s">
        <v>258</v>
      </c>
      <c r="E8" s="270" t="s">
        <v>259</v>
      </c>
      <c r="F8" s="271"/>
    </row>
    <row r="9" spans="1:6" x14ac:dyDescent="0.25">
      <c r="A9" s="272" t="s">
        <v>29</v>
      </c>
      <c r="B9" s="273" t="s">
        <v>260</v>
      </c>
      <c r="C9" s="274">
        <v>10</v>
      </c>
      <c r="D9" s="276">
        <f>Notes!E53</f>
        <v>28241584</v>
      </c>
      <c r="E9" s="276">
        <f>+Notes!F51</f>
        <v>6195510</v>
      </c>
      <c r="F9" s="120"/>
    </row>
    <row r="10" spans="1:6" x14ac:dyDescent="0.25">
      <c r="A10" s="272" t="s">
        <v>42</v>
      </c>
      <c r="B10" s="273" t="s">
        <v>186</v>
      </c>
      <c r="C10" s="274">
        <v>11</v>
      </c>
      <c r="D10" s="275"/>
      <c r="E10" s="276">
        <v>0</v>
      </c>
      <c r="F10" s="120"/>
    </row>
    <row r="11" spans="1:6" ht="15.75" x14ac:dyDescent="0.3">
      <c r="A11" s="277" t="s">
        <v>261</v>
      </c>
      <c r="B11" s="278" t="s">
        <v>262</v>
      </c>
      <c r="C11" s="274"/>
      <c r="D11" s="279">
        <f>D9+D10</f>
        <v>28241584</v>
      </c>
      <c r="E11" s="280">
        <f>E9+E10</f>
        <v>6195510</v>
      </c>
      <c r="F11" s="120"/>
    </row>
    <row r="12" spans="1:6" x14ac:dyDescent="0.25">
      <c r="A12" s="272"/>
      <c r="B12" s="273"/>
      <c r="C12" s="274"/>
      <c r="D12" s="275"/>
      <c r="E12" s="276"/>
      <c r="F12" s="120"/>
    </row>
    <row r="13" spans="1:6" ht="15.75" x14ac:dyDescent="0.3">
      <c r="A13" s="277" t="s">
        <v>263</v>
      </c>
      <c r="B13" s="281" t="s">
        <v>264</v>
      </c>
      <c r="C13" s="274"/>
      <c r="D13" s="275"/>
      <c r="E13" s="276"/>
      <c r="F13" s="120"/>
    </row>
    <row r="14" spans="1:6" x14ac:dyDescent="0.25">
      <c r="A14" s="272" t="s">
        <v>30</v>
      </c>
      <c r="B14" s="273" t="s">
        <v>265</v>
      </c>
      <c r="C14" s="274">
        <v>12</v>
      </c>
      <c r="D14" s="276">
        <f>+Notes!E62</f>
        <v>26920064</v>
      </c>
      <c r="E14" s="276">
        <f>+Notes!F62</f>
        <v>5402485</v>
      </c>
      <c r="F14" s="120"/>
    </row>
    <row r="15" spans="1:6" x14ac:dyDescent="0.25">
      <c r="A15" s="272" t="s">
        <v>31</v>
      </c>
      <c r="B15" s="273" t="s">
        <v>266</v>
      </c>
      <c r="C15" s="274">
        <v>13</v>
      </c>
      <c r="D15" s="276">
        <f>+Notes!E68</f>
        <v>150000</v>
      </c>
      <c r="E15" s="276">
        <f>+Notes!F68</f>
        <v>96000</v>
      </c>
      <c r="F15" s="120"/>
    </row>
    <row r="16" spans="1:6" x14ac:dyDescent="0.25">
      <c r="A16" s="272" t="s">
        <v>45</v>
      </c>
      <c r="B16" s="273" t="s">
        <v>267</v>
      </c>
      <c r="C16" s="274">
        <v>14</v>
      </c>
      <c r="D16" s="276">
        <f>+Notes!E85</f>
        <v>165246</v>
      </c>
      <c r="E16" s="276">
        <f>+Notes!F85</f>
        <v>0</v>
      </c>
      <c r="F16" s="120"/>
    </row>
    <row r="17" spans="1:6" x14ac:dyDescent="0.25">
      <c r="A17" s="272" t="s">
        <v>32</v>
      </c>
      <c r="B17" s="273" t="s">
        <v>268</v>
      </c>
      <c r="C17" s="274">
        <v>2</v>
      </c>
      <c r="D17" s="276">
        <f>+Notes!E18</f>
        <v>4950</v>
      </c>
      <c r="E17" s="276">
        <f>+Notes!F18</f>
        <v>5630</v>
      </c>
      <c r="F17" s="120"/>
    </row>
    <row r="18" spans="1:6" x14ac:dyDescent="0.25">
      <c r="A18" s="272" t="s">
        <v>47</v>
      </c>
      <c r="B18" s="273" t="s">
        <v>269</v>
      </c>
      <c r="C18" s="274">
        <v>15</v>
      </c>
      <c r="D18" s="276">
        <f>+Notes!E79</f>
        <v>306686</v>
      </c>
      <c r="E18" s="276">
        <f>+Notes!F79</f>
        <v>192254</v>
      </c>
      <c r="F18" s="120"/>
    </row>
    <row r="19" spans="1:6" ht="15.75" x14ac:dyDescent="0.3">
      <c r="A19" s="272"/>
      <c r="B19" s="282" t="s">
        <v>270</v>
      </c>
      <c r="C19" s="274"/>
      <c r="D19" s="283">
        <f>SUM(D14:D18)</f>
        <v>27546946</v>
      </c>
      <c r="E19" s="284">
        <f>SUM(E14:E18)</f>
        <v>5696369</v>
      </c>
      <c r="F19" s="120"/>
    </row>
    <row r="20" spans="1:6" ht="39.6" customHeight="1" x14ac:dyDescent="0.3">
      <c r="A20" s="277" t="s">
        <v>271</v>
      </c>
      <c r="B20" s="285" t="s">
        <v>272</v>
      </c>
      <c r="C20" s="274"/>
      <c r="D20" s="275">
        <f>D11-D19</f>
        <v>694638</v>
      </c>
      <c r="E20" s="276">
        <f>E11-E19</f>
        <v>499141</v>
      </c>
      <c r="F20" s="120"/>
    </row>
    <row r="21" spans="1:6" x14ac:dyDescent="0.25">
      <c r="A21" s="272" t="s">
        <v>273</v>
      </c>
      <c r="B21" s="273" t="s">
        <v>274</v>
      </c>
      <c r="C21" s="274"/>
      <c r="D21" s="275">
        <v>0</v>
      </c>
      <c r="E21" s="276">
        <v>0</v>
      </c>
      <c r="F21" s="120"/>
    </row>
    <row r="22" spans="1:6" ht="28.5" x14ac:dyDescent="0.3">
      <c r="A22" s="277" t="s">
        <v>275</v>
      </c>
      <c r="B22" s="282" t="s">
        <v>276</v>
      </c>
      <c r="C22" s="274"/>
      <c r="D22" s="286">
        <f>D20-D21</f>
        <v>694638</v>
      </c>
      <c r="E22" s="287">
        <f>E20-E21</f>
        <v>499141</v>
      </c>
      <c r="F22" s="120"/>
    </row>
    <row r="23" spans="1:6" x14ac:dyDescent="0.25">
      <c r="A23" s="272" t="s">
        <v>277</v>
      </c>
      <c r="B23" s="273" t="s">
        <v>278</v>
      </c>
      <c r="C23" s="274"/>
      <c r="D23" s="275">
        <v>0</v>
      </c>
      <c r="E23" s="276">
        <v>0</v>
      </c>
      <c r="F23" s="120"/>
    </row>
    <row r="24" spans="1:6" ht="15.75" x14ac:dyDescent="0.3">
      <c r="A24" s="277" t="s">
        <v>279</v>
      </c>
      <c r="B24" s="282" t="s">
        <v>280</v>
      </c>
      <c r="C24" s="274"/>
      <c r="D24" s="279">
        <f>D22-D23</f>
        <v>694638</v>
      </c>
      <c r="E24" s="280">
        <f>E22-E23</f>
        <v>499141</v>
      </c>
      <c r="F24" s="120"/>
    </row>
    <row r="25" spans="1:6" x14ac:dyDescent="0.25">
      <c r="A25" s="272" t="s">
        <v>281</v>
      </c>
      <c r="B25" s="273" t="s">
        <v>282</v>
      </c>
      <c r="C25" s="274"/>
      <c r="D25" s="275"/>
      <c r="E25" s="276"/>
      <c r="F25" s="120"/>
    </row>
    <row r="26" spans="1:6" x14ac:dyDescent="0.25">
      <c r="A26" s="272" t="s">
        <v>30</v>
      </c>
      <c r="B26" s="273" t="s">
        <v>283</v>
      </c>
      <c r="C26" s="274"/>
      <c r="D26" s="275">
        <v>0</v>
      </c>
      <c r="E26" s="276">
        <v>0</v>
      </c>
      <c r="F26" s="120"/>
    </row>
    <row r="27" spans="1:6" ht="27" x14ac:dyDescent="0.25">
      <c r="A27" s="272" t="s">
        <v>31</v>
      </c>
      <c r="B27" s="273" t="s">
        <v>284</v>
      </c>
      <c r="C27" s="274"/>
      <c r="D27" s="275"/>
      <c r="E27" s="276"/>
      <c r="F27" s="120"/>
    </row>
    <row r="28" spans="1:6" x14ac:dyDescent="0.25">
      <c r="A28" s="272" t="s">
        <v>45</v>
      </c>
      <c r="B28" s="273" t="s">
        <v>285</v>
      </c>
      <c r="C28" s="274"/>
      <c r="D28" s="275">
        <v>0</v>
      </c>
      <c r="E28" s="276">
        <v>0</v>
      </c>
      <c r="F28" s="120"/>
    </row>
    <row r="29" spans="1:6" x14ac:dyDescent="0.25">
      <c r="A29" s="272"/>
      <c r="B29" s="273"/>
      <c r="C29" s="274"/>
      <c r="D29" s="279">
        <f>SUM(D26:D28)</f>
        <v>0</v>
      </c>
      <c r="E29" s="280">
        <f>SUM(E26:E28)</f>
        <v>0</v>
      </c>
      <c r="F29" s="120"/>
    </row>
    <row r="30" spans="1:6" ht="38.450000000000003" customHeight="1" x14ac:dyDescent="0.3">
      <c r="A30" s="277" t="s">
        <v>286</v>
      </c>
      <c r="B30" s="282" t="s">
        <v>287</v>
      </c>
      <c r="C30" s="274"/>
      <c r="D30" s="275">
        <f>D24-D29</f>
        <v>694638</v>
      </c>
      <c r="E30" s="275">
        <f>E24-E29</f>
        <v>499141</v>
      </c>
      <c r="F30" s="120"/>
    </row>
    <row r="31" spans="1:6" x14ac:dyDescent="0.25">
      <c r="A31" s="272" t="s">
        <v>288</v>
      </c>
      <c r="B31" s="273" t="s">
        <v>289</v>
      </c>
      <c r="C31" s="274"/>
      <c r="D31" s="275">
        <v>0</v>
      </c>
      <c r="E31" s="276">
        <v>0</v>
      </c>
      <c r="F31" s="120"/>
    </row>
    <row r="32" spans="1:6" x14ac:dyDescent="0.25">
      <c r="A32" s="272" t="s">
        <v>290</v>
      </c>
      <c r="B32" s="273" t="s">
        <v>291</v>
      </c>
      <c r="C32" s="274"/>
      <c r="D32" s="275">
        <v>0</v>
      </c>
      <c r="E32" s="276">
        <v>0</v>
      </c>
      <c r="F32" s="120"/>
    </row>
    <row r="33" spans="1:6" ht="28.5" x14ac:dyDescent="0.3">
      <c r="A33" s="277" t="s">
        <v>292</v>
      </c>
      <c r="B33" s="288" t="s">
        <v>293</v>
      </c>
      <c r="C33" s="274"/>
      <c r="D33" s="275">
        <f>D31-D32</f>
        <v>0</v>
      </c>
      <c r="E33" s="276">
        <f>E31-E32</f>
        <v>0</v>
      </c>
      <c r="F33" s="120"/>
    </row>
    <row r="34" spans="1:6" ht="16.5" thickBot="1" x14ac:dyDescent="0.35">
      <c r="A34" s="289" t="s">
        <v>294</v>
      </c>
      <c r="B34" s="290" t="s">
        <v>295</v>
      </c>
      <c r="C34" s="291"/>
      <c r="D34" s="292">
        <f>D30+D33</f>
        <v>694638</v>
      </c>
      <c r="E34" s="293">
        <f>E30+E33</f>
        <v>499141</v>
      </c>
      <c r="F34" s="120"/>
    </row>
    <row r="35" spans="1:6" ht="15.75" thickTop="1" x14ac:dyDescent="0.25">
      <c r="A35" s="120"/>
      <c r="B35" s="120"/>
      <c r="C35" s="120"/>
      <c r="D35" s="294"/>
      <c r="E35" s="120"/>
      <c r="F35" s="120"/>
    </row>
    <row r="36" spans="1:6" ht="15.75" x14ac:dyDescent="0.3">
      <c r="A36" s="295"/>
      <c r="B36" s="296"/>
      <c r="C36" s="296"/>
      <c r="D36" s="297"/>
      <c r="E36" s="297"/>
      <c r="F36" s="120"/>
    </row>
    <row r="37" spans="1:6" ht="15.75" x14ac:dyDescent="0.3">
      <c r="A37" s="309" t="str">
        <f>+'Balance Sheet '!A53</f>
        <v>For ISHRAT JAHAN &amp; ASSOCIATES</v>
      </c>
      <c r="B37" s="296"/>
      <c r="C37" s="296"/>
      <c r="D37" s="297"/>
      <c r="E37" s="297"/>
      <c r="F37" s="120"/>
    </row>
    <row r="38" spans="1:6" ht="15.75" x14ac:dyDescent="0.3">
      <c r="A38" s="309" t="str">
        <f>+'Balance Sheet '!A54</f>
        <v>Chartered Accountants</v>
      </c>
      <c r="B38" s="296"/>
      <c r="C38" s="296"/>
      <c r="D38" s="298"/>
      <c r="E38" s="297"/>
      <c r="F38" s="120"/>
    </row>
    <row r="39" spans="1:6" ht="15.75" x14ac:dyDescent="0.3">
      <c r="A39" s="309" t="str">
        <f>+'Balance Sheet '!A55</f>
        <v>FRN: 042976N</v>
      </c>
      <c r="B39" s="296"/>
      <c r="C39" s="296"/>
      <c r="D39" s="299"/>
      <c r="E39" s="297"/>
      <c r="F39" s="120"/>
    </row>
    <row r="40" spans="1:6" ht="15.75" x14ac:dyDescent="0.3">
      <c r="A40" s="309"/>
      <c r="B40" s="300"/>
      <c r="C40" s="296"/>
      <c r="D40" s="301"/>
      <c r="E40" s="297"/>
      <c r="F40" s="120"/>
    </row>
    <row r="41" spans="1:6" ht="15.75" x14ac:dyDescent="0.3">
      <c r="A41" s="309" t="str">
        <f>+'Balance Sheet '!A57</f>
        <v>CA. Ishrat Jahan</v>
      </c>
      <c r="B41" s="300"/>
      <c r="C41" s="296"/>
      <c r="D41" s="302" t="str">
        <f>+'Balance Sheet '!D57</f>
        <v>For, Talep Vegetable Shop</v>
      </c>
      <c r="E41" s="297"/>
      <c r="F41" s="120"/>
    </row>
    <row r="42" spans="1:6" x14ac:dyDescent="0.25">
      <c r="A42" s="309" t="str">
        <f>+'Balance Sheet '!A58</f>
        <v>(Proprietor)</v>
      </c>
      <c r="B42" s="303"/>
      <c r="C42" s="303"/>
      <c r="D42" s="302" t="str">
        <f>+'Balance Sheet '!D58</f>
        <v>Sd/-</v>
      </c>
      <c r="E42" s="297"/>
      <c r="F42" s="120"/>
    </row>
    <row r="43" spans="1:6" x14ac:dyDescent="0.25">
      <c r="A43" s="309" t="str">
        <f>+'Balance Sheet '!A59</f>
        <v>Membership No.: 577705</v>
      </c>
      <c r="B43" s="303"/>
      <c r="C43" s="304"/>
      <c r="D43" s="302" t="str">
        <f>+'Balance Sheet '!D59</f>
        <v>Talep Ali</v>
      </c>
      <c r="E43" s="297"/>
      <c r="F43" s="120"/>
    </row>
    <row r="44" spans="1:6" x14ac:dyDescent="0.25">
      <c r="A44" s="309" t="str">
        <f>+'Balance Sheet '!A60</f>
        <v>Date: 22.09.2025</v>
      </c>
      <c r="B44" s="303"/>
      <c r="C44" s="304"/>
      <c r="D44" s="302" t="str">
        <f>+'Balance Sheet '!D60</f>
        <v>Place : Kharupetia</v>
      </c>
      <c r="E44" s="297"/>
      <c r="F44" s="120"/>
    </row>
    <row r="45" spans="1:6" x14ac:dyDescent="0.25">
      <c r="A45" s="309" t="str">
        <f>+'Balance Sheet '!A61</f>
        <v>UDIN :</v>
      </c>
      <c r="B45" s="303"/>
      <c r="C45" s="304"/>
      <c r="D45" s="302" t="str">
        <f>+'Balance Sheet '!D61</f>
        <v>Date : 22.09.2025</v>
      </c>
      <c r="E45" s="297"/>
      <c r="F45" s="120"/>
    </row>
    <row r="46" spans="1:6" ht="15.75" x14ac:dyDescent="0.3">
      <c r="A46" s="305"/>
      <c r="B46" s="297"/>
      <c r="C46" s="306"/>
      <c r="D46" s="307"/>
      <c r="E46" s="307"/>
      <c r="F46" s="307"/>
    </row>
    <row r="47" spans="1:6" x14ac:dyDescent="0.25">
      <c r="A47" s="308"/>
      <c r="B47" s="308"/>
      <c r="C47" s="308"/>
      <c r="D47" s="308"/>
      <c r="E47" s="308"/>
      <c r="F47" s="308"/>
    </row>
  </sheetData>
  <mergeCells count="6">
    <mergeCell ref="A6:E6"/>
    <mergeCell ref="A1:E1"/>
    <mergeCell ref="A2:E2"/>
    <mergeCell ref="A3:E3"/>
    <mergeCell ref="A4:E4"/>
    <mergeCell ref="A5:E5"/>
  </mergeCells>
  <hyperlinks>
    <hyperlink ref="B10" location="'Other Income'!A1" display="Other income"/>
    <hyperlink ref="B16" location="'Finance Cost'!A1" display="Finance costs"/>
  </hyperlinks>
  <pageMargins left="0.70866141732283472" right="0.70866141732283472" top="0.39370078740157483" bottom="0.35433070866141736" header="0.31496062992125984" footer="0.31496062992125984"/>
  <pageSetup scale="94"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6"/>
  <sheetViews>
    <sheetView showGridLines="0" view="pageBreakPreview" zoomScale="80" zoomScaleNormal="100" zoomScaleSheetLayoutView="80" workbookViewId="0">
      <selection activeCell="M18" sqref="M18"/>
    </sheetView>
  </sheetViews>
  <sheetFormatPr defaultColWidth="8.7109375" defaultRowHeight="16.5" x14ac:dyDescent="0.25"/>
  <cols>
    <col min="1" max="1" width="1.42578125" style="77" customWidth="1"/>
    <col min="2" max="2" width="24" style="77" customWidth="1"/>
    <col min="3" max="3" width="15.5703125" style="77" bestFit="1" customWidth="1"/>
    <col min="4" max="4" width="25.7109375" style="77" customWidth="1"/>
    <col min="5" max="5" width="15.140625" style="77" bestFit="1" customWidth="1"/>
    <col min="6" max="6" width="15.140625" style="77" customWidth="1"/>
    <col min="7" max="7" width="15.5703125" style="77" bestFit="1" customWidth="1"/>
    <col min="8" max="8" width="15.5703125" style="77" customWidth="1"/>
    <col min="9" max="9" width="14.5703125" style="77" bestFit="1" customWidth="1"/>
    <col min="10" max="10" width="18.85546875" style="77" customWidth="1"/>
    <col min="11" max="11" width="13.5703125" style="77" bestFit="1" customWidth="1"/>
    <col min="12" max="12" width="11.140625" style="77" bestFit="1" customWidth="1"/>
    <col min="13" max="13" width="12.140625" style="77" bestFit="1" customWidth="1"/>
    <col min="14" max="16384" width="8.7109375" style="77"/>
  </cols>
  <sheetData>
    <row r="1" spans="1:10" x14ac:dyDescent="0.25">
      <c r="B1" s="336" t="str">
        <f>+'Balance Sheet '!A1</f>
        <v>TALEP VEGETABLE SHOP</v>
      </c>
      <c r="C1" s="336"/>
      <c r="D1" s="336"/>
      <c r="E1" s="336"/>
      <c r="F1" s="336"/>
      <c r="G1" s="336"/>
      <c r="H1" s="336"/>
      <c r="I1" s="336"/>
      <c r="J1" s="336"/>
    </row>
    <row r="2" spans="1:10" x14ac:dyDescent="0.25">
      <c r="B2" s="336" t="str">
        <f>+'Balance Sheet '!A2</f>
        <v>Prop:-</v>
      </c>
      <c r="C2" s="336"/>
      <c r="D2" s="336"/>
      <c r="E2" s="336"/>
      <c r="F2" s="336"/>
      <c r="G2" s="336"/>
      <c r="H2" s="336"/>
      <c r="I2" s="336"/>
      <c r="J2" s="336"/>
    </row>
    <row r="3" spans="1:10" ht="18.75" customHeight="1" x14ac:dyDescent="0.25">
      <c r="A3" s="205"/>
      <c r="B3" s="336" t="str">
        <f>+'Balance Sheet '!A3</f>
        <v>TALEP ALI</v>
      </c>
      <c r="C3" s="336"/>
      <c r="D3" s="336"/>
      <c r="E3" s="336"/>
      <c r="F3" s="336"/>
      <c r="G3" s="336"/>
      <c r="H3" s="336"/>
      <c r="I3" s="336"/>
      <c r="J3" s="336"/>
    </row>
    <row r="4" spans="1:10" x14ac:dyDescent="0.25">
      <c r="B4" s="336" t="str">
        <f>+'Balance Sheet '!A4</f>
        <v>C/O : SALEH UDDIN , VILL : NAGAJAN</v>
      </c>
      <c r="C4" s="336"/>
      <c r="D4" s="336"/>
      <c r="E4" s="336"/>
      <c r="F4" s="336"/>
      <c r="G4" s="336"/>
      <c r="H4" s="336"/>
      <c r="I4" s="336"/>
      <c r="J4" s="336"/>
    </row>
    <row r="5" spans="1:10" x14ac:dyDescent="0.25">
      <c r="B5" s="336" t="str">
        <f>+'Balance Sheet '!A5</f>
        <v>P.O : KHARUPETIA , DIST. : DARRANG</v>
      </c>
      <c r="C5" s="336"/>
      <c r="D5" s="336"/>
      <c r="E5" s="336"/>
      <c r="F5" s="336"/>
      <c r="G5" s="336"/>
      <c r="H5" s="336"/>
      <c r="I5" s="336"/>
      <c r="J5" s="336"/>
    </row>
    <row r="6" spans="1:10" x14ac:dyDescent="0.25">
      <c r="B6" s="336" t="str">
        <f>+'Balance Sheet '!A6</f>
        <v>STATE : ASSAM, PIN : 784115</v>
      </c>
      <c r="C6" s="336"/>
      <c r="D6" s="336"/>
      <c r="E6" s="336"/>
      <c r="F6" s="336"/>
      <c r="G6" s="336"/>
      <c r="H6" s="336"/>
      <c r="I6" s="336"/>
      <c r="J6" s="336"/>
    </row>
    <row r="7" spans="1:10" x14ac:dyDescent="0.25">
      <c r="B7" s="78" t="s">
        <v>215</v>
      </c>
    </row>
    <row r="8" spans="1:10" x14ac:dyDescent="0.25">
      <c r="B8" s="336" t="s">
        <v>88</v>
      </c>
      <c r="C8" s="336"/>
      <c r="D8" s="336"/>
      <c r="E8" s="336"/>
      <c r="F8" s="336"/>
      <c r="G8" s="336"/>
      <c r="H8" s="336"/>
      <c r="I8" s="336"/>
      <c r="J8" s="336"/>
    </row>
    <row r="10" spans="1:10" s="80" customFormat="1" ht="15" x14ac:dyDescent="0.25">
      <c r="B10" s="339" t="s">
        <v>59</v>
      </c>
      <c r="C10" s="342" t="s">
        <v>60</v>
      </c>
      <c r="D10" s="343"/>
      <c r="E10" s="343"/>
      <c r="F10" s="343"/>
      <c r="G10" s="343"/>
      <c r="H10" s="344"/>
      <c r="I10" s="337" t="s">
        <v>61</v>
      </c>
      <c r="J10" s="79" t="s">
        <v>62</v>
      </c>
    </row>
    <row r="11" spans="1:10" s="80" customFormat="1" ht="15" customHeight="1" x14ac:dyDescent="0.25">
      <c r="B11" s="340"/>
      <c r="C11" s="337" t="s">
        <v>89</v>
      </c>
      <c r="D11" s="337" t="s">
        <v>63</v>
      </c>
      <c r="E11" s="346" t="s">
        <v>64</v>
      </c>
      <c r="F11" s="346"/>
      <c r="G11" s="337" t="s">
        <v>65</v>
      </c>
      <c r="H11" s="337" t="s">
        <v>66</v>
      </c>
      <c r="I11" s="345"/>
      <c r="J11" s="337" t="s">
        <v>92</v>
      </c>
    </row>
    <row r="12" spans="1:10" s="80" customFormat="1" ht="30" x14ac:dyDescent="0.25">
      <c r="B12" s="341"/>
      <c r="C12" s="338"/>
      <c r="D12" s="338"/>
      <c r="E12" s="81" t="s">
        <v>90</v>
      </c>
      <c r="F12" s="81" t="s">
        <v>91</v>
      </c>
      <c r="G12" s="338"/>
      <c r="H12" s="338"/>
      <c r="I12" s="338"/>
      <c r="J12" s="338"/>
    </row>
    <row r="13" spans="1:10" s="85" customFormat="1" ht="15" x14ac:dyDescent="0.25">
      <c r="B13" s="82" t="s">
        <v>67</v>
      </c>
      <c r="C13" s="83"/>
      <c r="D13" s="83"/>
      <c r="E13" s="83"/>
      <c r="F13" s="83"/>
      <c r="G13" s="83"/>
      <c r="H13" s="83"/>
      <c r="I13" s="84"/>
      <c r="J13" s="83"/>
    </row>
    <row r="14" spans="1:10" x14ac:dyDescent="0.25">
      <c r="B14" s="86" t="s">
        <v>311</v>
      </c>
      <c r="C14" s="87">
        <v>29525</v>
      </c>
      <c r="D14" s="88">
        <v>0.1</v>
      </c>
      <c r="E14" s="87">
        <v>0</v>
      </c>
      <c r="F14" s="87">
        <v>0</v>
      </c>
      <c r="G14" s="87">
        <f>E14+F14</f>
        <v>0</v>
      </c>
      <c r="H14" s="87">
        <f>C14+G14</f>
        <v>29525</v>
      </c>
      <c r="I14" s="83">
        <f>ROUND(((C14+E14)*D14+F14*D14*0.5),0)</f>
        <v>2953</v>
      </c>
      <c r="J14" s="87">
        <f>H14-I14</f>
        <v>26572</v>
      </c>
    </row>
    <row r="15" spans="1:10" x14ac:dyDescent="0.25">
      <c r="B15" s="86"/>
      <c r="C15" s="87"/>
      <c r="D15" s="88"/>
      <c r="E15" s="87"/>
      <c r="F15" s="87"/>
      <c r="G15" s="87"/>
      <c r="H15" s="87"/>
      <c r="I15" s="83"/>
      <c r="J15" s="87"/>
    </row>
    <row r="16" spans="1:10" x14ac:dyDescent="0.25">
      <c r="B16" s="82" t="s">
        <v>68</v>
      </c>
      <c r="C16" s="87"/>
      <c r="D16" s="88"/>
      <c r="E16" s="87"/>
      <c r="F16" s="87"/>
      <c r="G16" s="87"/>
      <c r="H16" s="87"/>
      <c r="I16" s="83"/>
      <c r="J16" s="87"/>
    </row>
    <row r="17" spans="2:12" x14ac:dyDescent="0.25">
      <c r="B17" s="86" t="s">
        <v>93</v>
      </c>
      <c r="C17" s="87">
        <v>13311</v>
      </c>
      <c r="D17" s="88">
        <v>0.15</v>
      </c>
      <c r="E17" s="87">
        <v>0</v>
      </c>
      <c r="F17" s="87">
        <v>0</v>
      </c>
      <c r="G17" s="87">
        <f t="shared" ref="G17:G20" si="0">E17+F17</f>
        <v>0</v>
      </c>
      <c r="H17" s="87">
        <f t="shared" ref="H17:H20" si="1">C17+G17</f>
        <v>13311</v>
      </c>
      <c r="I17" s="83">
        <f>ROUND(((C17+E17)*D17+F17*D17*0.5),0)</f>
        <v>1997</v>
      </c>
      <c r="J17" s="87">
        <f t="shared" ref="J17:J20" si="2">H17-I17</f>
        <v>11314</v>
      </c>
    </row>
    <row r="18" spans="2:12" x14ac:dyDescent="0.25">
      <c r="B18" s="86"/>
      <c r="C18" s="87"/>
      <c r="D18" s="88"/>
      <c r="E18" s="87"/>
      <c r="F18" s="87"/>
      <c r="G18" s="87"/>
      <c r="H18" s="87"/>
      <c r="I18" s="83"/>
      <c r="J18" s="87"/>
    </row>
    <row r="19" spans="2:12" x14ac:dyDescent="0.25">
      <c r="B19" s="82" t="s">
        <v>69</v>
      </c>
      <c r="C19" s="87"/>
      <c r="D19" s="88"/>
      <c r="E19" s="87"/>
      <c r="F19" s="87"/>
      <c r="G19" s="87"/>
      <c r="H19" s="87"/>
      <c r="I19" s="83"/>
      <c r="J19" s="87"/>
    </row>
    <row r="20" spans="2:12" x14ac:dyDescent="0.25">
      <c r="B20" s="86" t="s">
        <v>70</v>
      </c>
      <c r="C20" s="87">
        <v>0</v>
      </c>
      <c r="D20" s="88">
        <v>0.4</v>
      </c>
      <c r="E20" s="87">
        <v>0</v>
      </c>
      <c r="F20" s="87">
        <v>0</v>
      </c>
      <c r="G20" s="87">
        <f t="shared" si="0"/>
        <v>0</v>
      </c>
      <c r="H20" s="87">
        <f t="shared" si="1"/>
        <v>0</v>
      </c>
      <c r="I20" s="83">
        <f>ROUND(((C20+E20)*D20+F20*D20*0.5),0)</f>
        <v>0</v>
      </c>
      <c r="J20" s="87">
        <f t="shared" si="2"/>
        <v>0</v>
      </c>
    </row>
    <row r="21" spans="2:12" x14ac:dyDescent="0.25">
      <c r="B21" s="82"/>
      <c r="C21" s="87" t="s">
        <v>2</v>
      </c>
      <c r="D21" s="87"/>
      <c r="E21" s="87"/>
      <c r="F21" s="87"/>
      <c r="G21" s="87"/>
      <c r="H21" s="87"/>
      <c r="I21" s="83"/>
      <c r="J21" s="87"/>
    </row>
    <row r="22" spans="2:12" s="91" customFormat="1" ht="15" x14ac:dyDescent="0.25">
      <c r="B22" s="89"/>
      <c r="C22" s="90">
        <f>SUM(C14:C20)</f>
        <v>42836</v>
      </c>
      <c r="D22" s="90"/>
      <c r="E22" s="90">
        <f t="shared" ref="E22:G22" si="3">SUM(E14:E20)</f>
        <v>0</v>
      </c>
      <c r="F22" s="90">
        <f t="shared" si="3"/>
        <v>0</v>
      </c>
      <c r="G22" s="90">
        <f t="shared" si="3"/>
        <v>0</v>
      </c>
      <c r="H22" s="90">
        <f>SUM(H14:H20)</f>
        <v>42836</v>
      </c>
      <c r="I22" s="90">
        <f>SUM(I14:I20)</f>
        <v>4950</v>
      </c>
      <c r="J22" s="90">
        <f>SUM(J14:J20)</f>
        <v>37886</v>
      </c>
      <c r="K22" s="91">
        <f>H22-I22</f>
        <v>37886</v>
      </c>
      <c r="L22" s="91">
        <f>J22-K22</f>
        <v>0</v>
      </c>
    </row>
    <row r="24" spans="2:12" x14ac:dyDescent="0.25">
      <c r="B24" s="94"/>
      <c r="C24" s="93"/>
      <c r="D24" s="93"/>
      <c r="E24" s="93"/>
      <c r="F24" s="93"/>
      <c r="G24" s="93"/>
      <c r="H24" s="93"/>
      <c r="I24" s="93"/>
      <c r="J24" s="93"/>
    </row>
    <row r="25" spans="2:12" x14ac:dyDescent="0.25">
      <c r="B25" s="92"/>
      <c r="C25" s="95"/>
      <c r="D25" s="95"/>
      <c r="E25" s="95"/>
      <c r="F25" s="95"/>
      <c r="G25" s="95"/>
      <c r="H25" s="95"/>
      <c r="I25" s="96"/>
      <c r="J25" s="97"/>
    </row>
    <row r="26" spans="2:12" x14ac:dyDescent="0.25">
      <c r="B26" s="92"/>
      <c r="C26" s="95"/>
      <c r="D26" s="95"/>
      <c r="E26" s="95"/>
      <c r="F26" s="95"/>
      <c r="G26" s="98"/>
      <c r="H26" s="95" t="str">
        <f>+'Balance Sheet '!D58</f>
        <v>Sd/-</v>
      </c>
      <c r="I26" s="95"/>
      <c r="J26" s="97"/>
    </row>
    <row r="27" spans="2:12" x14ac:dyDescent="0.25">
      <c r="B27" s="92"/>
      <c r="C27" s="95"/>
      <c r="D27" s="95"/>
      <c r="E27" s="95"/>
      <c r="F27" s="95"/>
      <c r="G27" s="95"/>
      <c r="H27" s="95" t="str">
        <f>+'Balance Sheet '!D59</f>
        <v>Talep Ali</v>
      </c>
      <c r="I27" s="95"/>
      <c r="J27" s="97"/>
    </row>
    <row r="28" spans="2:12" x14ac:dyDescent="0.25">
      <c r="B28" s="92"/>
      <c r="C28" s="95"/>
      <c r="D28" s="95"/>
      <c r="E28" s="95"/>
      <c r="F28" s="95"/>
      <c r="G28" s="95"/>
      <c r="H28" s="95" t="str">
        <f>+'Balance Sheet '!D60</f>
        <v>Place : Kharupetia</v>
      </c>
      <c r="I28" s="95"/>
      <c r="J28" s="97"/>
    </row>
    <row r="29" spans="2:12" x14ac:dyDescent="0.25">
      <c r="B29" s="92"/>
      <c r="C29" s="95"/>
      <c r="D29" s="95"/>
      <c r="E29" s="95"/>
      <c r="F29" s="95"/>
      <c r="G29" s="95"/>
      <c r="H29" s="95" t="str">
        <f>+'Balance Sheet '!D61</f>
        <v>Date : 22.09.2025</v>
      </c>
      <c r="I29" s="95"/>
      <c r="J29" s="97"/>
    </row>
    <row r="30" spans="2:12" x14ac:dyDescent="0.25">
      <c r="B30" s="92"/>
      <c r="C30" s="95"/>
      <c r="D30" s="95"/>
      <c r="E30" s="95"/>
      <c r="F30" s="95"/>
      <c r="G30" s="95"/>
      <c r="H30" s="95"/>
      <c r="I30" s="95"/>
      <c r="J30" s="97"/>
    </row>
    <row r="31" spans="2:12" x14ac:dyDescent="0.25">
      <c r="B31" s="92"/>
      <c r="C31" s="95"/>
      <c r="D31" s="95"/>
      <c r="E31" s="95"/>
      <c r="F31" s="95"/>
      <c r="G31" s="95"/>
      <c r="H31" s="95"/>
      <c r="I31" s="95"/>
      <c r="J31" s="97"/>
    </row>
    <row r="32" spans="2:12" x14ac:dyDescent="0.25">
      <c r="B32" s="99"/>
      <c r="C32" s="95"/>
      <c r="D32" s="95"/>
      <c r="E32" s="95"/>
      <c r="F32" s="95"/>
      <c r="G32" s="95"/>
      <c r="H32" s="95"/>
      <c r="I32" s="95"/>
      <c r="J32" s="97"/>
      <c r="K32" s="100"/>
    </row>
    <row r="33" spans="2:10" x14ac:dyDescent="0.25">
      <c r="B33" s="92"/>
      <c r="C33" s="95"/>
      <c r="D33" s="95"/>
      <c r="E33" s="95"/>
      <c r="F33" s="95"/>
      <c r="G33" s="95"/>
      <c r="H33" s="95"/>
      <c r="I33" s="95"/>
      <c r="J33" s="97"/>
    </row>
    <row r="34" spans="2:10" x14ac:dyDescent="0.25">
      <c r="B34" s="92"/>
      <c r="C34" s="95"/>
      <c r="D34" s="95"/>
      <c r="E34" s="95"/>
      <c r="F34" s="95"/>
      <c r="G34" s="95"/>
      <c r="H34" s="95"/>
      <c r="I34" s="96"/>
      <c r="J34" s="97"/>
    </row>
    <row r="35" spans="2:10" x14ac:dyDescent="0.25">
      <c r="B35" s="92"/>
      <c r="C35" s="95"/>
      <c r="D35" s="95"/>
      <c r="E35" s="95"/>
      <c r="F35" s="95"/>
      <c r="G35" s="95"/>
      <c r="H35" s="95"/>
      <c r="I35" s="96"/>
      <c r="J35" s="97"/>
    </row>
    <row r="36" spans="2:10" x14ac:dyDescent="0.25">
      <c r="B36" s="92"/>
      <c r="C36" s="95"/>
      <c r="D36" s="95"/>
      <c r="E36" s="95"/>
      <c r="F36" s="95"/>
      <c r="G36" s="95"/>
      <c r="H36" s="95"/>
      <c r="I36" s="96"/>
      <c r="J36" s="97"/>
    </row>
  </sheetData>
  <mergeCells count="16">
    <mergeCell ref="B1:J1"/>
    <mergeCell ref="B2:J2"/>
    <mergeCell ref="B3:J3"/>
    <mergeCell ref="G11:G12"/>
    <mergeCell ref="H11:H12"/>
    <mergeCell ref="J11:J12"/>
    <mergeCell ref="B4:J4"/>
    <mergeCell ref="B5:J5"/>
    <mergeCell ref="B8:J8"/>
    <mergeCell ref="B10:B12"/>
    <mergeCell ref="C10:H10"/>
    <mergeCell ref="I10:I12"/>
    <mergeCell ref="C11:C12"/>
    <mergeCell ref="D11:D12"/>
    <mergeCell ref="E11:F11"/>
    <mergeCell ref="B6:J6"/>
  </mergeCells>
  <printOptions horizontalCentered="1"/>
  <pageMargins left="0.25" right="0.41" top="0.45" bottom="0.74803149606299213" header="0.31496062992125984" footer="0.31496062992125984"/>
  <pageSetup paperSize="9" scale="8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5"/>
  <sheetViews>
    <sheetView zoomScaleNormal="100" zoomScaleSheetLayoutView="100" workbookViewId="0">
      <selection activeCell="F10" sqref="F10"/>
    </sheetView>
  </sheetViews>
  <sheetFormatPr defaultColWidth="9.140625" defaultRowHeight="15" x14ac:dyDescent="0.25"/>
  <cols>
    <col min="1" max="1" width="6.5703125" style="1" customWidth="1"/>
    <col min="2" max="2" width="16.85546875" style="1" customWidth="1"/>
    <col min="3" max="3" width="11" style="1" customWidth="1"/>
    <col min="4" max="10" width="16.140625" style="1" customWidth="1"/>
    <col min="11" max="16384" width="9.140625" style="1"/>
  </cols>
  <sheetData>
    <row r="1" spans="1:10" x14ac:dyDescent="0.35">
      <c r="A1" s="348" t="e">
        <f>'Balance Sheet '!#REF!</f>
        <v>#REF!</v>
      </c>
      <c r="B1" s="348"/>
      <c r="C1" s="348"/>
      <c r="D1" s="348"/>
      <c r="E1" s="348"/>
      <c r="F1" s="348"/>
      <c r="G1" s="348"/>
      <c r="H1" s="348"/>
      <c r="I1" s="348"/>
      <c r="J1" s="348"/>
    </row>
    <row r="2" spans="1:10" ht="14.1" x14ac:dyDescent="0.35">
      <c r="A2" s="349" t="e">
        <f>'Balance Sheet '!#REF!</f>
        <v>#REF!</v>
      </c>
      <c r="B2" s="349"/>
      <c r="C2" s="349"/>
      <c r="D2" s="349"/>
      <c r="E2" s="349"/>
      <c r="F2" s="349"/>
      <c r="G2" s="349"/>
      <c r="H2" s="349"/>
      <c r="I2" s="349"/>
      <c r="J2" s="349"/>
    </row>
    <row r="3" spans="1:10" ht="14.1" x14ac:dyDescent="0.35">
      <c r="A3" s="347"/>
      <c r="B3" s="347"/>
      <c r="C3" s="347"/>
      <c r="D3" s="347"/>
      <c r="E3" s="347"/>
      <c r="F3" s="347"/>
      <c r="G3" s="347"/>
      <c r="H3" s="347"/>
      <c r="I3" s="347"/>
      <c r="J3" s="347"/>
    </row>
    <row r="4" spans="1:10" ht="24.75" customHeight="1" x14ac:dyDescent="0.35">
      <c r="A4" s="347" t="s">
        <v>8</v>
      </c>
      <c r="B4" s="347"/>
      <c r="C4" s="347"/>
      <c r="D4" s="347"/>
      <c r="E4" s="347"/>
      <c r="F4" s="347"/>
      <c r="G4" s="347"/>
      <c r="H4" s="347"/>
      <c r="I4" s="347"/>
      <c r="J4" s="347"/>
    </row>
    <row r="5" spans="1:10" ht="25.5" customHeight="1" x14ac:dyDescent="0.35">
      <c r="A5" s="347" t="s">
        <v>14</v>
      </c>
      <c r="B5" s="347"/>
      <c r="C5" s="347"/>
      <c r="D5" s="347"/>
      <c r="E5" s="347"/>
      <c r="F5" s="347"/>
      <c r="G5" s="347"/>
      <c r="H5" s="347"/>
      <c r="I5" s="347"/>
      <c r="J5" s="347"/>
    </row>
    <row r="7" spans="1:10" s="9" customFormat="1" ht="27.95" x14ac:dyDescent="0.35">
      <c r="A7" s="8" t="s">
        <v>7</v>
      </c>
      <c r="B7" s="8" t="s">
        <v>0</v>
      </c>
      <c r="C7" s="8" t="s">
        <v>4</v>
      </c>
      <c r="D7" s="8" t="s">
        <v>9</v>
      </c>
      <c r="E7" s="8" t="s">
        <v>6</v>
      </c>
      <c r="F7" s="8" t="s">
        <v>11</v>
      </c>
      <c r="G7" s="8" t="s">
        <v>5</v>
      </c>
      <c r="H7" s="8" t="s">
        <v>4</v>
      </c>
      <c r="I7" s="8" t="s">
        <v>13</v>
      </c>
      <c r="J7" s="8" t="s">
        <v>3</v>
      </c>
    </row>
    <row r="8" spans="1:10" ht="14.1" x14ac:dyDescent="0.35">
      <c r="A8" s="3"/>
      <c r="B8" s="3"/>
      <c r="C8" s="3"/>
      <c r="D8" s="3"/>
      <c r="E8" s="3"/>
      <c r="F8" s="3"/>
      <c r="G8" s="3"/>
      <c r="H8" s="3"/>
      <c r="I8" s="3"/>
      <c r="J8" s="3"/>
    </row>
    <row r="9" spans="1:10" ht="14.1" x14ac:dyDescent="0.35">
      <c r="A9" s="10">
        <v>1</v>
      </c>
      <c r="B9" s="3" t="str">
        <f>'Balance Sheet '!B39</f>
        <v>Current investments</v>
      </c>
      <c r="C9" s="5">
        <v>0.15</v>
      </c>
      <c r="D9" s="4">
        <v>0</v>
      </c>
      <c r="E9" s="3"/>
      <c r="F9" s="3"/>
      <c r="G9" s="4">
        <f>D9+E9-F9</f>
        <v>0</v>
      </c>
      <c r="H9" s="5">
        <v>0.15</v>
      </c>
      <c r="I9" s="4">
        <f>G9*H9</f>
        <v>0</v>
      </c>
      <c r="J9" s="4">
        <f>ROUND(D9-I9,0)</f>
        <v>0</v>
      </c>
    </row>
    <row r="10" spans="1:10" ht="14.1" x14ac:dyDescent="0.35">
      <c r="A10" s="10">
        <v>2</v>
      </c>
      <c r="B10" s="3" t="s">
        <v>12</v>
      </c>
      <c r="C10" s="5">
        <v>0.15</v>
      </c>
      <c r="D10" s="4">
        <v>0</v>
      </c>
      <c r="E10" s="3"/>
      <c r="F10" s="3"/>
      <c r="G10" s="4">
        <f>D10+E10-F10</f>
        <v>0</v>
      </c>
      <c r="H10" s="5">
        <v>0.15</v>
      </c>
      <c r="I10" s="4">
        <f>G10*H10</f>
        <v>0</v>
      </c>
      <c r="J10" s="4">
        <f>ROUND(D10-I10,0)</f>
        <v>0</v>
      </c>
    </row>
    <row r="11" spans="1:10" ht="14.1" x14ac:dyDescent="0.35">
      <c r="A11" s="3"/>
      <c r="B11" s="2" t="s">
        <v>10</v>
      </c>
      <c r="C11" s="6">
        <f t="shared" ref="C11" si="0">C9-C10</f>
        <v>0</v>
      </c>
      <c r="D11" s="6">
        <f>SUM(D9:D10)</f>
        <v>0</v>
      </c>
      <c r="E11" s="6">
        <f t="shared" ref="E11:H11" si="1">E9-E10</f>
        <v>0</v>
      </c>
      <c r="F11" s="6">
        <f t="shared" si="1"/>
        <v>0</v>
      </c>
      <c r="G11" s="6">
        <f>ROUND(G9-G10,0)</f>
        <v>0</v>
      </c>
      <c r="H11" s="6">
        <f t="shared" si="1"/>
        <v>0</v>
      </c>
      <c r="I11" s="6">
        <f>ROUND(I9-I10,0)</f>
        <v>0</v>
      </c>
      <c r="J11" s="6">
        <f>ROUND(J9-J10,0)</f>
        <v>0</v>
      </c>
    </row>
    <row r="12" spans="1:10" ht="14.1" x14ac:dyDescent="0.35">
      <c r="A12" s="7"/>
      <c r="B12" s="7"/>
      <c r="C12" s="7"/>
      <c r="D12" s="7"/>
      <c r="E12" s="7"/>
      <c r="F12" s="7"/>
      <c r="G12" s="7"/>
      <c r="H12" s="7"/>
      <c r="I12" s="7"/>
      <c r="J12" s="7"/>
    </row>
    <row r="13" spans="1:10" x14ac:dyDescent="0.25">
      <c r="A13" s="7"/>
      <c r="B13" s="7"/>
      <c r="C13" s="7"/>
      <c r="D13" s="7"/>
      <c r="E13" s="7"/>
      <c r="F13" s="7"/>
      <c r="G13" s="7"/>
      <c r="H13" s="7"/>
      <c r="I13" s="7"/>
      <c r="J13" s="7"/>
    </row>
    <row r="14" spans="1:10" x14ac:dyDescent="0.25">
      <c r="A14" s="7"/>
      <c r="B14" s="7"/>
      <c r="C14" s="7"/>
      <c r="D14" s="7"/>
      <c r="E14" s="7"/>
      <c r="F14" s="7"/>
      <c r="G14" s="7"/>
      <c r="H14" s="7"/>
      <c r="I14" s="7"/>
      <c r="J14" s="7"/>
    </row>
    <row r="15" spans="1:10" x14ac:dyDescent="0.25">
      <c r="A15" s="7"/>
      <c r="B15" s="7"/>
      <c r="C15" s="7"/>
      <c r="D15" s="7"/>
      <c r="E15" s="7"/>
      <c r="F15" s="7"/>
      <c r="G15" s="7"/>
      <c r="H15" s="7"/>
      <c r="I15" s="7"/>
      <c r="J15" s="7"/>
    </row>
  </sheetData>
  <mergeCells count="5">
    <mergeCell ref="A4:J4"/>
    <mergeCell ref="A5:J5"/>
    <mergeCell ref="A1:J1"/>
    <mergeCell ref="A2:J2"/>
    <mergeCell ref="A3:J3"/>
  </mergeCells>
  <printOptions horizontalCentered="1"/>
  <pageMargins left="0.70866141732283472" right="0.47" top="1.61" bottom="0.74803149606299213" header="0.31496062992125984" footer="0.31496062992125984"/>
  <pageSetup paperSize="9" scale="6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5"/>
  <sheetViews>
    <sheetView showGridLines="0" view="pageBreakPreview" zoomScale="96" zoomScaleNormal="100" zoomScaleSheetLayoutView="96" workbookViewId="0">
      <selection activeCell="E13" sqref="E13"/>
    </sheetView>
  </sheetViews>
  <sheetFormatPr defaultRowHeight="16.5" x14ac:dyDescent="0.3"/>
  <cols>
    <col min="1" max="1" width="5.85546875" style="102" bestFit="1" customWidth="1"/>
    <col min="2" max="2" width="5.85546875" style="102" customWidth="1"/>
    <col min="3" max="3" width="46.7109375" style="101" customWidth="1"/>
    <col min="4" max="4" width="9.42578125" style="236" customWidth="1"/>
    <col min="5" max="5" width="18.85546875" style="221" customWidth="1"/>
    <col min="6" max="6" width="19" style="221" customWidth="1"/>
    <col min="7" max="7" width="16.42578125" style="221" customWidth="1"/>
    <col min="8" max="8" width="15.85546875" style="101" customWidth="1"/>
    <col min="9" max="9" width="14.42578125" style="101" bestFit="1" customWidth="1"/>
    <col min="10" max="10" width="9.140625" style="101"/>
    <col min="11" max="11" width="11.5703125" style="101" bestFit="1" customWidth="1"/>
    <col min="12" max="12" width="14.5703125" style="101" bestFit="1" customWidth="1"/>
    <col min="13" max="16384" width="9.140625" style="101"/>
  </cols>
  <sheetData>
    <row r="1" spans="1:12" x14ac:dyDescent="0.3">
      <c r="A1" s="350" t="str">
        <f>+FA!B1</f>
        <v>TALEP VEGETABLE SHOP</v>
      </c>
      <c r="B1" s="350"/>
      <c r="C1" s="350"/>
      <c r="D1" s="350"/>
      <c r="E1" s="350"/>
      <c r="F1" s="350"/>
    </row>
    <row r="2" spans="1:12" x14ac:dyDescent="0.3">
      <c r="A2" s="351" t="str">
        <f>+FA!B2</f>
        <v>Prop:-</v>
      </c>
      <c r="B2" s="351"/>
      <c r="C2" s="351"/>
      <c r="D2" s="351"/>
      <c r="E2" s="351"/>
      <c r="F2" s="351"/>
    </row>
    <row r="3" spans="1:12" x14ac:dyDescent="0.3">
      <c r="A3" s="350" t="str">
        <f>+'Balance Sheet '!A3:H3</f>
        <v>TALEP ALI</v>
      </c>
      <c r="B3" s="350"/>
      <c r="C3" s="350"/>
      <c r="D3" s="350"/>
      <c r="E3" s="350"/>
      <c r="F3" s="350"/>
    </row>
    <row r="4" spans="1:12" x14ac:dyDescent="0.3">
      <c r="A4" s="350" t="str">
        <f>+'Balance Sheet '!A4:H4</f>
        <v>C/O : SALEH UDDIN , VILL : NAGAJAN</v>
      </c>
      <c r="B4" s="350"/>
      <c r="C4" s="350"/>
      <c r="D4" s="350"/>
      <c r="E4" s="350"/>
      <c r="F4" s="350"/>
    </row>
    <row r="5" spans="1:12" x14ac:dyDescent="0.3">
      <c r="A5" s="350" t="str">
        <f>+'Balance Sheet '!A5:H5</f>
        <v>P.O : KHARUPETIA , DIST. : DARRANG</v>
      </c>
      <c r="B5" s="350"/>
      <c r="C5" s="350"/>
      <c r="D5" s="350"/>
      <c r="E5" s="350"/>
      <c r="F5" s="350"/>
    </row>
    <row r="6" spans="1:12" x14ac:dyDescent="0.3">
      <c r="A6" s="350" t="str">
        <f>+'Balance Sheet '!A6:H6</f>
        <v>STATE : ASSAM, PIN : 784115</v>
      </c>
      <c r="B6" s="350"/>
      <c r="C6" s="350"/>
      <c r="D6" s="350"/>
      <c r="E6" s="350"/>
      <c r="F6" s="350"/>
      <c r="G6" s="260" t="s">
        <v>244</v>
      </c>
      <c r="H6" s="261" t="s">
        <v>245</v>
      </c>
      <c r="I6" s="261" t="s">
        <v>230</v>
      </c>
      <c r="J6" s="261" t="s">
        <v>246</v>
      </c>
      <c r="K6" s="261" t="s">
        <v>247</v>
      </c>
      <c r="L6" s="261" t="s">
        <v>248</v>
      </c>
    </row>
    <row r="7" spans="1:12" x14ac:dyDescent="0.3">
      <c r="G7" s="258" t="s">
        <v>249</v>
      </c>
      <c r="H7" s="258">
        <v>10967799</v>
      </c>
      <c r="I7" s="258">
        <v>894.1</v>
      </c>
      <c r="J7" s="258"/>
      <c r="K7" s="258"/>
      <c r="L7" s="258">
        <v>1950.32</v>
      </c>
    </row>
    <row r="8" spans="1:12" x14ac:dyDescent="0.3">
      <c r="A8" s="352" t="s">
        <v>169</v>
      </c>
      <c r="B8" s="353"/>
      <c r="C8" s="103" t="s">
        <v>1</v>
      </c>
      <c r="D8" s="228" t="s">
        <v>195</v>
      </c>
      <c r="E8" s="225" t="s">
        <v>199</v>
      </c>
      <c r="F8" s="220" t="s">
        <v>200</v>
      </c>
      <c r="G8" s="258" t="s">
        <v>253</v>
      </c>
      <c r="H8" s="258">
        <v>8802718</v>
      </c>
      <c r="I8" s="258">
        <v>729.26</v>
      </c>
      <c r="J8" s="258"/>
      <c r="K8" s="258">
        <v>95566</v>
      </c>
      <c r="L8" s="258"/>
    </row>
    <row r="9" spans="1:12" x14ac:dyDescent="0.3">
      <c r="A9" s="250">
        <v>1</v>
      </c>
      <c r="B9" s="214"/>
      <c r="C9" s="104" t="s">
        <v>158</v>
      </c>
      <c r="D9" s="229">
        <v>1</v>
      </c>
      <c r="E9" s="218"/>
      <c r="F9" s="107"/>
      <c r="G9" s="258" t="s">
        <v>250</v>
      </c>
      <c r="H9" s="258">
        <v>2650340</v>
      </c>
      <c r="I9" s="258">
        <v>619.5</v>
      </c>
      <c r="J9" s="258"/>
      <c r="K9" s="258"/>
      <c r="L9" s="258">
        <v>6555.25</v>
      </c>
    </row>
    <row r="10" spans="1:12" x14ac:dyDescent="0.3">
      <c r="A10" s="250"/>
      <c r="B10" s="214"/>
      <c r="C10" s="105" t="s">
        <v>58</v>
      </c>
      <c r="D10" s="230"/>
      <c r="E10" s="226">
        <f>+'Balance Sheet '!E13</f>
        <v>1065570</v>
      </c>
      <c r="F10" s="106">
        <v>863149</v>
      </c>
      <c r="G10" s="258" t="s">
        <v>296</v>
      </c>
      <c r="H10" s="258">
        <v>99073</v>
      </c>
      <c r="I10" s="198">
        <v>46.82</v>
      </c>
      <c r="J10" s="198"/>
      <c r="K10" s="198"/>
      <c r="L10" s="198">
        <v>18821.14</v>
      </c>
    </row>
    <row r="11" spans="1:12" x14ac:dyDescent="0.3">
      <c r="A11" s="250"/>
      <c r="B11" s="214"/>
      <c r="C11" s="105" t="s">
        <v>71</v>
      </c>
      <c r="D11" s="230"/>
      <c r="E11" s="218">
        <f>+'PL New Format'!D34</f>
        <v>694638</v>
      </c>
      <c r="F11" s="107">
        <f>+'PL New Format'!E34</f>
        <v>499141</v>
      </c>
      <c r="G11" s="258" t="s">
        <v>297</v>
      </c>
      <c r="H11" s="258">
        <v>895101</v>
      </c>
      <c r="I11" s="198">
        <v>214.76</v>
      </c>
      <c r="J11" s="258">
        <v>60</v>
      </c>
      <c r="K11" s="198"/>
      <c r="L11" s="198">
        <v>4953.51</v>
      </c>
    </row>
    <row r="12" spans="1:12" x14ac:dyDescent="0.3">
      <c r="A12" s="250"/>
      <c r="B12" s="214"/>
      <c r="C12" s="108" t="s">
        <v>55</v>
      </c>
      <c r="D12" s="231"/>
      <c r="E12" s="223">
        <f>SUM(E10:E11)</f>
        <v>1760208</v>
      </c>
      <c r="F12" s="111">
        <f>F10+F11</f>
        <v>1362290</v>
      </c>
      <c r="G12" s="221" t="s">
        <v>66</v>
      </c>
      <c r="H12" s="257">
        <f>SUM(H7:H11)</f>
        <v>23415031</v>
      </c>
      <c r="I12" s="257">
        <f>SUM(I7:I11)</f>
        <v>2504.4400000000005</v>
      </c>
      <c r="J12" s="257">
        <f>SUM(J7:J9)</f>
        <v>0</v>
      </c>
      <c r="K12" s="257">
        <f>SUM(K7:K11)</f>
        <v>95566</v>
      </c>
      <c r="L12" s="257">
        <f>SUM(L7:L11)</f>
        <v>32280.22</v>
      </c>
    </row>
    <row r="13" spans="1:12" x14ac:dyDescent="0.3">
      <c r="A13" s="250"/>
      <c r="B13" s="214"/>
      <c r="C13" s="110" t="s">
        <v>72</v>
      </c>
      <c r="D13" s="232"/>
      <c r="E13" s="224">
        <v>400000</v>
      </c>
      <c r="F13" s="219">
        <v>296720</v>
      </c>
    </row>
    <row r="14" spans="1:12" x14ac:dyDescent="0.3">
      <c r="A14" s="250"/>
      <c r="B14" s="214"/>
      <c r="C14" s="238" t="s">
        <v>73</v>
      </c>
      <c r="D14" s="239"/>
      <c r="E14" s="240">
        <f>E12-E13</f>
        <v>1360208</v>
      </c>
      <c r="F14" s="240">
        <f>F12-F13</f>
        <v>1065570</v>
      </c>
      <c r="H14" s="257"/>
    </row>
    <row r="15" spans="1:12" x14ac:dyDescent="0.3">
      <c r="A15" s="250"/>
      <c r="B15" s="214"/>
      <c r="C15" s="108"/>
      <c r="D15" s="252"/>
      <c r="E15" s="253"/>
      <c r="F15" s="253"/>
      <c r="H15" s="221"/>
    </row>
    <row r="16" spans="1:12" x14ac:dyDescent="0.3">
      <c r="A16" s="250">
        <v>2</v>
      </c>
      <c r="B16" s="214"/>
      <c r="C16" s="227" t="s">
        <v>193</v>
      </c>
      <c r="D16" s="252">
        <v>2</v>
      </c>
      <c r="E16" s="253"/>
      <c r="F16" s="253"/>
      <c r="I16" s="257"/>
    </row>
    <row r="17" spans="1:8" x14ac:dyDescent="0.3">
      <c r="A17" s="250"/>
      <c r="B17" s="214"/>
      <c r="C17" s="110" t="s">
        <v>81</v>
      </c>
      <c r="D17" s="252"/>
      <c r="E17" s="253">
        <f>+FA!C22</f>
        <v>42836</v>
      </c>
      <c r="F17" s="253">
        <f>32805+15660</f>
        <v>48465</v>
      </c>
      <c r="H17" s="257"/>
    </row>
    <row r="18" spans="1:8" x14ac:dyDescent="0.3">
      <c r="A18" s="250"/>
      <c r="B18" s="214"/>
      <c r="C18" s="110" t="s">
        <v>225</v>
      </c>
      <c r="D18" s="252"/>
      <c r="E18" s="253">
        <f>+FA!I22</f>
        <v>4950</v>
      </c>
      <c r="F18" s="253">
        <v>5630</v>
      </c>
    </row>
    <row r="19" spans="1:8" x14ac:dyDescent="0.3">
      <c r="A19" s="250"/>
      <c r="B19" s="214"/>
      <c r="C19" s="254" t="s">
        <v>83</v>
      </c>
      <c r="D19" s="255"/>
      <c r="E19" s="256">
        <f>E17-E18</f>
        <v>37886</v>
      </c>
      <c r="F19" s="256">
        <f>F17-F18</f>
        <v>42835</v>
      </c>
    </row>
    <row r="20" spans="1:8" x14ac:dyDescent="0.3">
      <c r="A20" s="250"/>
      <c r="B20" s="214"/>
      <c r="C20" s="108"/>
      <c r="D20" s="252"/>
      <c r="E20" s="253"/>
      <c r="F20" s="253"/>
    </row>
    <row r="21" spans="1:8" x14ac:dyDescent="0.3">
      <c r="A21" s="250">
        <v>3</v>
      </c>
      <c r="B21" s="214"/>
      <c r="C21" s="227" t="s">
        <v>219</v>
      </c>
      <c r="D21" s="252">
        <v>3</v>
      </c>
      <c r="E21" s="253"/>
      <c r="F21" s="253"/>
    </row>
    <row r="22" spans="1:8" x14ac:dyDescent="0.3">
      <c r="A22" s="250"/>
      <c r="B22" s="214"/>
      <c r="C22" t="s">
        <v>301</v>
      </c>
      <c r="D22" s="252"/>
      <c r="E22" s="253">
        <v>723999</v>
      </c>
      <c r="F22" s="253">
        <v>0</v>
      </c>
    </row>
    <row r="23" spans="1:8" x14ac:dyDescent="0.3">
      <c r="A23" s="250"/>
      <c r="B23" s="214"/>
      <c r="C23" s="254"/>
      <c r="D23" s="255"/>
      <c r="E23" s="256">
        <f>E22</f>
        <v>723999</v>
      </c>
      <c r="F23" s="256">
        <f>F22</f>
        <v>0</v>
      </c>
    </row>
    <row r="24" spans="1:8" x14ac:dyDescent="0.3">
      <c r="A24" s="250"/>
      <c r="B24" s="214"/>
      <c r="C24" s="108"/>
      <c r="D24" s="252"/>
      <c r="E24" s="253"/>
      <c r="F24" s="253"/>
    </row>
    <row r="25" spans="1:8" x14ac:dyDescent="0.3">
      <c r="A25" s="250">
        <v>4</v>
      </c>
      <c r="B25" s="214"/>
      <c r="C25" s="227" t="s">
        <v>220</v>
      </c>
      <c r="D25" s="252">
        <v>4</v>
      </c>
      <c r="E25" s="253"/>
      <c r="F25" s="253"/>
    </row>
    <row r="26" spans="1:8" x14ac:dyDescent="0.3">
      <c r="A26" s="250"/>
      <c r="B26" s="214"/>
      <c r="C26" s="108" t="s">
        <v>251</v>
      </c>
      <c r="D26" s="252"/>
      <c r="E26" s="253">
        <f>ROUND((795460.96),0)</f>
        <v>795461</v>
      </c>
      <c r="F26" s="253">
        <v>0</v>
      </c>
    </row>
    <row r="27" spans="1:8" x14ac:dyDescent="0.3">
      <c r="A27" s="250"/>
      <c r="B27" s="214"/>
      <c r="C27" s="254"/>
      <c r="D27" s="255"/>
      <c r="E27" s="256">
        <f>E26</f>
        <v>795461</v>
      </c>
      <c r="F27" s="256">
        <f>F26</f>
        <v>0</v>
      </c>
    </row>
    <row r="28" spans="1:8" x14ac:dyDescent="0.3">
      <c r="A28" s="250"/>
      <c r="B28" s="214"/>
      <c r="C28" s="108"/>
      <c r="D28" s="252"/>
      <c r="E28" s="253"/>
      <c r="F28" s="253"/>
    </row>
    <row r="29" spans="1:8" x14ac:dyDescent="0.3">
      <c r="A29" s="250">
        <v>5</v>
      </c>
      <c r="B29" s="214"/>
      <c r="C29" s="227" t="s">
        <v>204</v>
      </c>
      <c r="D29" s="229">
        <v>5</v>
      </c>
      <c r="E29" s="216"/>
      <c r="F29" s="216"/>
    </row>
    <row r="30" spans="1:8" x14ac:dyDescent="0.3">
      <c r="A30" s="250"/>
      <c r="B30" s="214"/>
      <c r="C30" s="110" t="s">
        <v>205</v>
      </c>
      <c r="D30" s="229"/>
      <c r="E30" s="216">
        <v>10000</v>
      </c>
      <c r="F30" s="216">
        <v>0</v>
      </c>
    </row>
    <row r="31" spans="1:8" x14ac:dyDescent="0.3">
      <c r="A31" s="250"/>
      <c r="B31" s="214"/>
      <c r="C31" s="238"/>
      <c r="D31" s="239"/>
      <c r="E31" s="241">
        <f>E30</f>
        <v>10000</v>
      </c>
      <c r="F31" s="241">
        <f>F30</f>
        <v>0</v>
      </c>
    </row>
    <row r="32" spans="1:8" x14ac:dyDescent="0.3">
      <c r="A32" s="250"/>
      <c r="B32" s="214"/>
      <c r="C32" s="108"/>
      <c r="D32" s="229"/>
      <c r="E32" s="216"/>
      <c r="F32" s="216"/>
    </row>
    <row r="33" spans="1:8" x14ac:dyDescent="0.3">
      <c r="A33" s="250">
        <v>6</v>
      </c>
      <c r="B33" s="214"/>
      <c r="C33" s="227" t="s">
        <v>208</v>
      </c>
      <c r="D33" s="229"/>
      <c r="E33" s="216"/>
      <c r="F33" s="216"/>
    </row>
    <row r="34" spans="1:8" x14ac:dyDescent="0.3">
      <c r="A34" s="250"/>
      <c r="B34" s="214"/>
      <c r="C34" s="108" t="s">
        <v>209</v>
      </c>
      <c r="D34" s="229">
        <v>6</v>
      </c>
      <c r="E34" s="107">
        <v>0</v>
      </c>
      <c r="F34" s="107">
        <v>0</v>
      </c>
    </row>
    <row r="35" spans="1:8" x14ac:dyDescent="0.3">
      <c r="A35" s="250"/>
      <c r="B35" s="214"/>
      <c r="C35" s="238"/>
      <c r="D35" s="239"/>
      <c r="E35" s="241">
        <f>E34</f>
        <v>0</v>
      </c>
      <c r="F35" s="241">
        <f>F34</f>
        <v>0</v>
      </c>
    </row>
    <row r="36" spans="1:8" x14ac:dyDescent="0.3">
      <c r="A36" s="250"/>
      <c r="B36" s="214"/>
      <c r="C36" s="108"/>
      <c r="D36" s="252"/>
      <c r="E36" s="253"/>
      <c r="F36" s="253"/>
    </row>
    <row r="37" spans="1:8" x14ac:dyDescent="0.3">
      <c r="A37" s="250"/>
      <c r="B37" s="214"/>
      <c r="C37" s="108" t="s">
        <v>221</v>
      </c>
      <c r="D37" s="252"/>
      <c r="E37" s="253"/>
      <c r="F37" s="253"/>
    </row>
    <row r="38" spans="1:8" x14ac:dyDescent="0.3">
      <c r="A38" s="250">
        <v>7</v>
      </c>
      <c r="B38" s="214"/>
      <c r="C38" s="108" t="s">
        <v>222</v>
      </c>
      <c r="D38" s="252">
        <v>7</v>
      </c>
      <c r="E38" s="253">
        <v>0</v>
      </c>
      <c r="F38" s="253">
        <v>0</v>
      </c>
    </row>
    <row r="39" spans="1:8" x14ac:dyDescent="0.3">
      <c r="A39" s="250"/>
      <c r="B39" s="214"/>
      <c r="C39" s="108" t="s">
        <v>223</v>
      </c>
      <c r="D39" s="252"/>
      <c r="E39" s="253">
        <v>0</v>
      </c>
      <c r="F39" s="253">
        <v>0</v>
      </c>
    </row>
    <row r="40" spans="1:8" x14ac:dyDescent="0.3">
      <c r="A40" s="250"/>
      <c r="B40" s="214"/>
      <c r="C40" s="254"/>
      <c r="D40" s="255"/>
      <c r="E40" s="256">
        <f>E38+E39</f>
        <v>0</v>
      </c>
      <c r="F40" s="256">
        <f>F38+F39</f>
        <v>0</v>
      </c>
    </row>
    <row r="41" spans="1:8" x14ac:dyDescent="0.3">
      <c r="A41" s="250"/>
      <c r="B41" s="214"/>
      <c r="C41" s="108"/>
      <c r="D41" s="252"/>
      <c r="E41" s="253"/>
      <c r="F41" s="253"/>
      <c r="G41" s="221" t="s">
        <v>229</v>
      </c>
      <c r="H41" s="101" t="s">
        <v>230</v>
      </c>
    </row>
    <row r="42" spans="1:8" x14ac:dyDescent="0.3">
      <c r="A42" s="250">
        <v>8</v>
      </c>
      <c r="B42" s="214"/>
      <c r="C42" s="104" t="s">
        <v>184</v>
      </c>
      <c r="D42" s="230">
        <v>8</v>
      </c>
      <c r="E42" s="213"/>
      <c r="F42" s="213"/>
    </row>
    <row r="43" spans="1:8" x14ac:dyDescent="0.3">
      <c r="A43" s="250"/>
      <c r="B43" s="214"/>
      <c r="C43" s="105" t="s">
        <v>254</v>
      </c>
      <c r="D43" s="233"/>
      <c r="E43" s="76">
        <f>ROUND((L7),0)</f>
        <v>1950</v>
      </c>
      <c r="F43" s="76">
        <v>0</v>
      </c>
      <c r="G43" s="221">
        <f>10391822+3836715</f>
        <v>14228537</v>
      </c>
      <c r="H43" s="102">
        <v>765</v>
      </c>
    </row>
    <row r="44" spans="1:8" x14ac:dyDescent="0.3">
      <c r="A44" s="250"/>
      <c r="B44" s="214"/>
      <c r="C44" s="105" t="s">
        <v>255</v>
      </c>
      <c r="D44" s="233"/>
      <c r="E44" s="76">
        <f>ROUND((L9),0)</f>
        <v>6555</v>
      </c>
      <c r="F44" s="76">
        <v>0</v>
      </c>
    </row>
    <row r="45" spans="1:8" x14ac:dyDescent="0.3">
      <c r="A45" s="250"/>
      <c r="B45" s="214"/>
      <c r="C45" s="105" t="s">
        <v>298</v>
      </c>
      <c r="D45" s="233"/>
      <c r="E45" s="76">
        <f>ROUND((L11),0)</f>
        <v>4954</v>
      </c>
      <c r="F45" s="76">
        <v>0</v>
      </c>
    </row>
    <row r="46" spans="1:8" x14ac:dyDescent="0.3">
      <c r="A46" s="250"/>
      <c r="B46" s="214"/>
      <c r="C46" s="105" t="s">
        <v>299</v>
      </c>
      <c r="D46" s="233"/>
      <c r="E46" s="76">
        <f>ROUND((L10),0)</f>
        <v>18821</v>
      </c>
      <c r="F46" s="76">
        <v>0</v>
      </c>
    </row>
    <row r="47" spans="1:8" x14ac:dyDescent="0.3">
      <c r="A47" s="250"/>
      <c r="B47" s="214"/>
      <c r="C47" s="238" t="s">
        <v>156</v>
      </c>
      <c r="D47" s="239"/>
      <c r="E47" s="241">
        <f>ROUND((E43+E44+E45+E46),0)</f>
        <v>32280</v>
      </c>
      <c r="F47" s="241">
        <f>F43+F44</f>
        <v>0</v>
      </c>
    </row>
    <row r="48" spans="1:8" x14ac:dyDescent="0.3">
      <c r="A48" s="250"/>
      <c r="B48" s="214"/>
      <c r="C48" s="105"/>
      <c r="D48" s="230"/>
      <c r="E48" s="107"/>
      <c r="F48" s="107"/>
    </row>
    <row r="49" spans="1:8" x14ac:dyDescent="0.3">
      <c r="A49" s="250"/>
      <c r="B49" s="214"/>
      <c r="C49" s="105"/>
      <c r="D49" s="230"/>
      <c r="E49" s="107"/>
      <c r="F49" s="107"/>
    </row>
    <row r="50" spans="1:8" x14ac:dyDescent="0.3">
      <c r="A50" s="250">
        <v>9</v>
      </c>
      <c r="B50" s="214"/>
      <c r="C50" s="104" t="s">
        <v>185</v>
      </c>
      <c r="D50" s="230">
        <v>9</v>
      </c>
      <c r="E50" s="107"/>
      <c r="F50" s="107"/>
    </row>
    <row r="51" spans="1:8" x14ac:dyDescent="0.3">
      <c r="A51" s="250"/>
      <c r="B51" s="214"/>
      <c r="C51" s="105" t="s">
        <v>302</v>
      </c>
      <c r="D51" s="234"/>
      <c r="E51" s="107">
        <f>+H12</f>
        <v>23415031</v>
      </c>
      <c r="F51" s="107">
        <v>6195510</v>
      </c>
    </row>
    <row r="52" spans="1:8" x14ac:dyDescent="0.3">
      <c r="A52" s="250"/>
      <c r="B52" s="214"/>
      <c r="C52" s="105" t="s">
        <v>303</v>
      </c>
      <c r="D52" s="234"/>
      <c r="E52" s="107">
        <v>4826553</v>
      </c>
      <c r="F52" s="107">
        <v>0</v>
      </c>
    </row>
    <row r="53" spans="1:8" x14ac:dyDescent="0.3">
      <c r="A53" s="250"/>
      <c r="B53" s="214"/>
      <c r="C53" s="238" t="s">
        <v>156</v>
      </c>
      <c r="D53" s="242"/>
      <c r="E53" s="243">
        <f>E51+E52</f>
        <v>28241584</v>
      </c>
      <c r="F53" s="243">
        <f>F51+F52</f>
        <v>6195510</v>
      </c>
      <c r="G53" s="221">
        <v>9568035</v>
      </c>
      <c r="H53" s="257">
        <f>E53-G53</f>
        <v>18673549</v>
      </c>
    </row>
    <row r="54" spans="1:8" x14ac:dyDescent="0.3">
      <c r="A54" s="250"/>
      <c r="B54" s="214"/>
      <c r="C54" s="105"/>
      <c r="D54" s="235"/>
      <c r="E54" s="107"/>
      <c r="F54" s="107"/>
    </row>
    <row r="55" spans="1:8" x14ac:dyDescent="0.3">
      <c r="A55" s="250">
        <v>10</v>
      </c>
      <c r="B55" s="214"/>
      <c r="C55" s="105" t="s">
        <v>186</v>
      </c>
      <c r="D55" s="235">
        <v>10</v>
      </c>
      <c r="E55" s="217" t="s">
        <v>187</v>
      </c>
      <c r="F55" s="217" t="s">
        <v>187</v>
      </c>
    </row>
    <row r="56" spans="1:8" x14ac:dyDescent="0.3">
      <c r="A56" s="250"/>
      <c r="B56" s="214"/>
      <c r="C56" s="105"/>
      <c r="D56" s="235"/>
      <c r="E56" s="107"/>
      <c r="F56" s="107"/>
    </row>
    <row r="57" spans="1:8" x14ac:dyDescent="0.3">
      <c r="A57" s="250">
        <v>11</v>
      </c>
      <c r="B57" s="214"/>
      <c r="C57" s="104" t="s">
        <v>188</v>
      </c>
      <c r="D57" s="235">
        <v>11</v>
      </c>
      <c r="E57" s="107"/>
      <c r="F57" s="107"/>
    </row>
    <row r="58" spans="1:8" x14ac:dyDescent="0.3">
      <c r="A58" s="250"/>
      <c r="B58" s="214"/>
      <c r="C58" s="105" t="s">
        <v>77</v>
      </c>
      <c r="D58" s="235"/>
      <c r="E58" s="107">
        <f>F61</f>
        <v>698920</v>
      </c>
      <c r="F58" s="107">
        <v>573640</v>
      </c>
    </row>
    <row r="59" spans="1:8" x14ac:dyDescent="0.3">
      <c r="A59" s="250"/>
      <c r="B59" s="214"/>
      <c r="C59" s="105" t="s">
        <v>189</v>
      </c>
      <c r="D59" s="235"/>
      <c r="E59" s="219">
        <f>E53+E61-E58-E63</f>
        <v>28416764</v>
      </c>
      <c r="F59" s="219">
        <v>5527765</v>
      </c>
    </row>
    <row r="60" spans="1:8" x14ac:dyDescent="0.3">
      <c r="A60" s="250"/>
      <c r="B60" s="214"/>
      <c r="C60" s="105"/>
      <c r="D60" s="235"/>
      <c r="E60" s="216">
        <f>E58+E59</f>
        <v>29115684</v>
      </c>
      <c r="F60" s="216">
        <f>F58+F59</f>
        <v>6101405</v>
      </c>
      <c r="G60" s="221">
        <f>E58+E59</f>
        <v>29115684</v>
      </c>
      <c r="H60" s="257">
        <f>E60-G60</f>
        <v>0</v>
      </c>
    </row>
    <row r="61" spans="1:8" x14ac:dyDescent="0.3">
      <c r="A61" s="250"/>
      <c r="B61" s="214"/>
      <c r="C61" s="105" t="s">
        <v>190</v>
      </c>
      <c r="D61" s="232"/>
      <c r="E61" s="219">
        <v>2195620</v>
      </c>
      <c r="F61" s="219">
        <v>698920</v>
      </c>
    </row>
    <row r="62" spans="1:8" x14ac:dyDescent="0.3">
      <c r="A62" s="250"/>
      <c r="B62" s="214"/>
      <c r="C62" s="238"/>
      <c r="D62" s="244"/>
      <c r="E62" s="240">
        <f>E60-E61</f>
        <v>26920064</v>
      </c>
      <c r="F62" s="240">
        <f>F60-F61</f>
        <v>5402485</v>
      </c>
    </row>
    <row r="63" spans="1:8" x14ac:dyDescent="0.3">
      <c r="A63" s="250"/>
      <c r="B63" s="214"/>
      <c r="C63" s="109" t="s">
        <v>201</v>
      </c>
      <c r="D63" s="231"/>
      <c r="E63" s="216">
        <v>1321520</v>
      </c>
      <c r="F63" s="216">
        <f>F53-F62</f>
        <v>793025</v>
      </c>
    </row>
    <row r="64" spans="1:8" x14ac:dyDescent="0.3">
      <c r="A64" s="250"/>
      <c r="B64" s="214"/>
      <c r="C64" s="109" t="s">
        <v>202</v>
      </c>
      <c r="D64" s="231"/>
      <c r="E64" s="222">
        <f>E63/E53</f>
        <v>4.6793409321516807E-2</v>
      </c>
      <c r="F64" s="222">
        <f>F63/F53</f>
        <v>0.12799995480598045</v>
      </c>
    </row>
    <row r="65" spans="1:8" x14ac:dyDescent="0.3">
      <c r="A65" s="250"/>
      <c r="B65" s="214"/>
      <c r="C65" s="105"/>
      <c r="D65" s="230"/>
      <c r="E65" s="107"/>
      <c r="F65" s="107"/>
    </row>
    <row r="66" spans="1:8" x14ac:dyDescent="0.3">
      <c r="A66" s="250">
        <v>12</v>
      </c>
      <c r="B66" s="214"/>
      <c r="C66" s="227" t="s">
        <v>191</v>
      </c>
      <c r="D66" s="310">
        <v>12</v>
      </c>
      <c r="E66" s="311"/>
      <c r="F66" s="311"/>
      <c r="G66" s="312"/>
      <c r="H66" s="313"/>
    </row>
    <row r="67" spans="1:8" x14ac:dyDescent="0.3">
      <c r="A67" s="250"/>
      <c r="B67" s="214"/>
      <c r="C67" s="110" t="s">
        <v>196</v>
      </c>
      <c r="D67" s="310"/>
      <c r="E67" s="311">
        <v>150000</v>
      </c>
      <c r="F67" s="311">
        <v>96000</v>
      </c>
      <c r="G67" s="312"/>
      <c r="H67" s="313"/>
    </row>
    <row r="68" spans="1:8" x14ac:dyDescent="0.3">
      <c r="A68" s="251"/>
      <c r="B68" s="215"/>
      <c r="C68" s="314"/>
      <c r="D68" s="315"/>
      <c r="E68" s="316">
        <f>E67</f>
        <v>150000</v>
      </c>
      <c r="F68" s="316">
        <f>F67</f>
        <v>96000</v>
      </c>
      <c r="G68" s="312"/>
      <c r="H68" s="313"/>
    </row>
    <row r="69" spans="1:8" x14ac:dyDescent="0.3">
      <c r="A69" s="248">
        <v>13</v>
      </c>
      <c r="B69" s="249"/>
      <c r="C69" s="317" t="s">
        <v>194</v>
      </c>
      <c r="D69" s="318">
        <v>13</v>
      </c>
      <c r="E69" s="319"/>
      <c r="F69" s="319"/>
      <c r="G69" s="312"/>
      <c r="H69" s="313"/>
    </row>
    <row r="70" spans="1:8" x14ac:dyDescent="0.3">
      <c r="A70" s="250"/>
      <c r="B70" s="214"/>
      <c r="C70" s="110" t="s">
        <v>160</v>
      </c>
      <c r="D70" s="310"/>
      <c r="E70" s="311">
        <v>4650</v>
      </c>
      <c r="F70" s="311">
        <v>0</v>
      </c>
      <c r="G70" s="312"/>
      <c r="H70" s="313"/>
    </row>
    <row r="71" spans="1:8" x14ac:dyDescent="0.3">
      <c r="A71" s="250"/>
      <c r="B71" s="214"/>
      <c r="C71" s="110" t="s">
        <v>78</v>
      </c>
      <c r="D71" s="310"/>
      <c r="E71" s="311">
        <v>39000</v>
      </c>
      <c r="F71" s="311">
        <v>35880</v>
      </c>
      <c r="G71" s="312"/>
      <c r="H71" s="313"/>
    </row>
    <row r="72" spans="1:8" x14ac:dyDescent="0.3">
      <c r="A72" s="250"/>
      <c r="B72" s="214"/>
      <c r="C72" s="110" t="s">
        <v>226</v>
      </c>
      <c r="D72" s="310"/>
      <c r="E72" s="311">
        <v>31420</v>
      </c>
      <c r="F72" s="311">
        <v>25600</v>
      </c>
      <c r="G72" s="312"/>
      <c r="H72" s="313"/>
    </row>
    <row r="73" spans="1:8" x14ac:dyDescent="0.3">
      <c r="A73" s="250"/>
      <c r="B73" s="214"/>
      <c r="C73" s="110" t="s">
        <v>79</v>
      </c>
      <c r="D73" s="310"/>
      <c r="E73" s="311">
        <f>349*13*2</f>
        <v>9074</v>
      </c>
      <c r="F73" s="311">
        <v>7774</v>
      </c>
      <c r="G73" s="312"/>
      <c r="H73" s="313"/>
    </row>
    <row r="74" spans="1:8" x14ac:dyDescent="0.3">
      <c r="A74" s="250"/>
      <c r="B74" s="214"/>
      <c r="C74" s="110" t="s">
        <v>197</v>
      </c>
      <c r="D74" s="310"/>
      <c r="E74" s="311">
        <v>10000</v>
      </c>
      <c r="F74" s="311">
        <v>0</v>
      </c>
      <c r="G74" s="312"/>
      <c r="H74" s="313"/>
    </row>
    <row r="75" spans="1:8" x14ac:dyDescent="0.3">
      <c r="A75" s="250"/>
      <c r="B75" s="214"/>
      <c r="C75" s="110" t="s">
        <v>198</v>
      </c>
      <c r="D75" s="310"/>
      <c r="E75" s="311">
        <v>9450</v>
      </c>
      <c r="F75" s="311">
        <v>4980</v>
      </c>
      <c r="G75" s="312"/>
      <c r="H75" s="313"/>
    </row>
    <row r="76" spans="1:8" x14ac:dyDescent="0.3">
      <c r="A76" s="250"/>
      <c r="B76" s="214"/>
      <c r="C76" s="110" t="s">
        <v>243</v>
      </c>
      <c r="D76" s="310"/>
      <c r="E76" s="311">
        <v>158710</v>
      </c>
      <c r="F76" s="311">
        <v>80542</v>
      </c>
      <c r="G76" s="312"/>
      <c r="H76" s="313"/>
    </row>
    <row r="77" spans="1:8" x14ac:dyDescent="0.3">
      <c r="A77" s="250"/>
      <c r="B77" s="214"/>
      <c r="C77" s="110" t="s">
        <v>183</v>
      </c>
      <c r="D77" s="310"/>
      <c r="E77" s="311">
        <f>ROUND((+I12+10458),0)</f>
        <v>12962</v>
      </c>
      <c r="F77" s="311">
        <v>0</v>
      </c>
      <c r="G77" s="312" t="s">
        <v>130</v>
      </c>
      <c r="H77" s="313"/>
    </row>
    <row r="78" spans="1:8" x14ac:dyDescent="0.3">
      <c r="A78" s="250"/>
      <c r="B78" s="214"/>
      <c r="C78" s="110" t="s">
        <v>87</v>
      </c>
      <c r="D78" s="310"/>
      <c r="E78" s="311">
        <v>31420</v>
      </c>
      <c r="F78" s="311">
        <v>37478</v>
      </c>
      <c r="G78" s="312" t="s">
        <v>199</v>
      </c>
      <c r="H78" s="313" t="s">
        <v>200</v>
      </c>
    </row>
    <row r="79" spans="1:8" x14ac:dyDescent="0.3">
      <c r="A79" s="250"/>
      <c r="B79" s="214"/>
      <c r="C79" s="110" t="s">
        <v>53</v>
      </c>
      <c r="D79" s="310"/>
      <c r="E79" s="320">
        <f>SUM(E70:E78)</f>
        <v>306686</v>
      </c>
      <c r="F79" s="320">
        <f>SUM(F70:F78)</f>
        <v>192254</v>
      </c>
      <c r="G79" s="312">
        <f>+'PL New Format'!D34</f>
        <v>694638</v>
      </c>
      <c r="H79" s="321">
        <f>+'PL New Format'!E34</f>
        <v>499141</v>
      </c>
    </row>
    <row r="80" spans="1:8" x14ac:dyDescent="0.3">
      <c r="A80" s="250"/>
      <c r="B80" s="214"/>
      <c r="C80" s="105"/>
      <c r="D80" s="230"/>
      <c r="E80" s="107"/>
      <c r="F80" s="107"/>
    </row>
    <row r="81" spans="1:6" x14ac:dyDescent="0.3">
      <c r="A81" s="250">
        <v>14</v>
      </c>
      <c r="B81" s="214"/>
      <c r="C81" s="104" t="s">
        <v>192</v>
      </c>
      <c r="D81" s="230">
        <v>14</v>
      </c>
      <c r="E81" s="107"/>
      <c r="F81" s="107"/>
    </row>
    <row r="82" spans="1:6" x14ac:dyDescent="0.3">
      <c r="A82" s="250"/>
      <c r="B82" s="214"/>
      <c r="C82" s="105" t="s">
        <v>252</v>
      </c>
      <c r="D82" s="230"/>
      <c r="E82" s="107">
        <f>+K8</f>
        <v>95566</v>
      </c>
      <c r="F82" s="107">
        <v>0</v>
      </c>
    </row>
    <row r="83" spans="1:6" x14ac:dyDescent="0.3">
      <c r="A83" s="250"/>
      <c r="B83" s="214"/>
      <c r="C83" s="105" t="s">
        <v>300</v>
      </c>
      <c r="D83" s="230"/>
      <c r="E83" s="107">
        <v>69680</v>
      </c>
      <c r="F83" s="107"/>
    </row>
    <row r="84" spans="1:6" x14ac:dyDescent="0.3">
      <c r="A84" s="250"/>
      <c r="B84" s="214"/>
      <c r="C84" s="105"/>
      <c r="D84" s="230"/>
      <c r="E84" s="107"/>
      <c r="F84" s="107"/>
    </row>
    <row r="85" spans="1:6" x14ac:dyDescent="0.3">
      <c r="A85" s="251"/>
      <c r="B85" s="215"/>
      <c r="C85" s="246"/>
      <c r="D85" s="247"/>
      <c r="E85" s="245">
        <f>SUM(E82:E83)</f>
        <v>165246</v>
      </c>
      <c r="F85" s="245">
        <f>F82</f>
        <v>0</v>
      </c>
    </row>
  </sheetData>
  <mergeCells count="7">
    <mergeCell ref="A1:F1"/>
    <mergeCell ref="A2:F2"/>
    <mergeCell ref="A8:B8"/>
    <mergeCell ref="A3:F3"/>
    <mergeCell ref="A4:F4"/>
    <mergeCell ref="A5:F5"/>
    <mergeCell ref="A6:F6"/>
  </mergeCells>
  <pageMargins left="0.46" right="7.0000000000000007E-2" top="0.52" bottom="0.75" header="0.3" footer="0.3"/>
  <pageSetup scale="85" orientation="portrait" r:id="rId1"/>
  <rowBreaks count="1" manualBreakCount="1">
    <brk id="47"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6"/>
  <sheetViews>
    <sheetView showGridLines="0" view="pageBreakPreview" zoomScale="112" zoomScaleNormal="100" zoomScaleSheetLayoutView="112" workbookViewId="0">
      <selection activeCell="H34" sqref="H34"/>
    </sheetView>
  </sheetViews>
  <sheetFormatPr defaultRowHeight="16.5" x14ac:dyDescent="0.3"/>
  <cols>
    <col min="1" max="1" width="4.85546875" style="11" customWidth="1"/>
    <col min="2" max="2" width="5.85546875" style="12" bestFit="1" customWidth="1"/>
    <col min="3" max="3" width="27.28515625" style="11" customWidth="1"/>
    <col min="4" max="4" width="27.7109375" style="11" customWidth="1"/>
    <col min="5" max="5" width="27.140625" style="11" customWidth="1"/>
    <col min="6" max="16384" width="9.140625" style="11"/>
  </cols>
  <sheetData>
    <row r="1" spans="1:5" x14ac:dyDescent="0.3">
      <c r="A1" s="354" t="str">
        <f>+'Balance Sheet '!A1:H1</f>
        <v>TALEP VEGETABLE SHOP</v>
      </c>
      <c r="B1" s="354"/>
      <c r="C1" s="354"/>
      <c r="D1" s="354"/>
      <c r="E1" s="354"/>
    </row>
    <row r="2" spans="1:5" x14ac:dyDescent="0.3">
      <c r="A2" s="354" t="str">
        <f>+'Balance Sheet '!A2:H2</f>
        <v>Prop:-</v>
      </c>
      <c r="B2" s="354"/>
      <c r="C2" s="354"/>
      <c r="D2" s="354"/>
      <c r="E2" s="354"/>
    </row>
    <row r="3" spans="1:5" x14ac:dyDescent="0.3">
      <c r="A3" s="354" t="str">
        <f>+'Balance Sheet '!A3:H3</f>
        <v>TALEP ALI</v>
      </c>
      <c r="B3" s="354"/>
      <c r="C3" s="354"/>
      <c r="D3" s="354"/>
      <c r="E3" s="354"/>
    </row>
    <row r="4" spans="1:5" x14ac:dyDescent="0.3">
      <c r="B4" s="354" t="str">
        <f>+FA!B4</f>
        <v>C/O : SALEH UDDIN , VILL : NAGAJAN</v>
      </c>
      <c r="C4" s="354"/>
      <c r="D4" s="354"/>
      <c r="E4" s="354"/>
    </row>
    <row r="5" spans="1:5" x14ac:dyDescent="0.3">
      <c r="B5" s="354" t="str">
        <f>+FA!B5</f>
        <v>P.O : KHARUPETIA , DIST. : DARRANG</v>
      </c>
      <c r="C5" s="354"/>
      <c r="D5" s="354"/>
      <c r="E5" s="354"/>
    </row>
    <row r="6" spans="1:5" x14ac:dyDescent="0.3">
      <c r="B6" s="354" t="str">
        <f>+FA!B6</f>
        <v>STATE : ASSAM, PIN : 784115</v>
      </c>
      <c r="C6" s="354"/>
      <c r="D6" s="354"/>
      <c r="E6" s="354"/>
    </row>
    <row r="7" spans="1:5" x14ac:dyDescent="0.3">
      <c r="B7" s="113" t="s">
        <v>154</v>
      </c>
      <c r="C7" s="112"/>
      <c r="D7" s="112"/>
      <c r="E7" s="112"/>
    </row>
    <row r="9" spans="1:5" ht="17.25" x14ac:dyDescent="0.3">
      <c r="B9" s="13" t="s">
        <v>136</v>
      </c>
      <c r="C9" s="14"/>
      <c r="D9" s="14"/>
      <c r="E9" s="15"/>
    </row>
    <row r="10" spans="1:5" ht="69" customHeight="1" x14ac:dyDescent="0.3">
      <c r="B10" s="355" t="s">
        <v>137</v>
      </c>
      <c r="C10" s="355"/>
      <c r="D10" s="355"/>
      <c r="E10" s="355"/>
    </row>
    <row r="11" spans="1:5" ht="17.25" x14ac:dyDescent="0.3">
      <c r="B11" s="16" t="s">
        <v>138</v>
      </c>
      <c r="C11" s="17"/>
      <c r="D11" s="17"/>
      <c r="E11" s="17"/>
    </row>
    <row r="12" spans="1:5" ht="69" customHeight="1" x14ac:dyDescent="0.3">
      <c r="B12" s="355" t="s">
        <v>139</v>
      </c>
      <c r="C12" s="355"/>
      <c r="D12" s="355"/>
      <c r="E12" s="355"/>
    </row>
    <row r="13" spans="1:5" ht="27" customHeight="1" x14ac:dyDescent="0.3">
      <c r="B13" s="16" t="s">
        <v>140</v>
      </c>
      <c r="C13" s="17"/>
      <c r="D13" s="17"/>
      <c r="E13" s="17"/>
    </row>
    <row r="14" spans="1:5" ht="69" customHeight="1" x14ac:dyDescent="0.3">
      <c r="B14" s="355" t="s">
        <v>141</v>
      </c>
      <c r="C14" s="355"/>
      <c r="D14" s="355"/>
      <c r="E14" s="355"/>
    </row>
    <row r="15" spans="1:5" ht="25.5" customHeight="1" x14ac:dyDescent="0.3">
      <c r="B15" s="18" t="s">
        <v>142</v>
      </c>
      <c r="C15" s="17"/>
      <c r="D15" s="17"/>
      <c r="E15" s="17"/>
    </row>
    <row r="16" spans="1:5" ht="69" customHeight="1" x14ac:dyDescent="0.3">
      <c r="B16" s="355" t="s">
        <v>143</v>
      </c>
      <c r="C16" s="355"/>
      <c r="D16" s="355"/>
      <c r="E16" s="355"/>
    </row>
    <row r="17" spans="2:5" ht="17.25" x14ac:dyDescent="0.3">
      <c r="B17" s="16" t="s">
        <v>147</v>
      </c>
      <c r="C17" s="19"/>
      <c r="D17" s="19"/>
      <c r="E17" s="19"/>
    </row>
    <row r="18" spans="2:5" ht="45" customHeight="1" x14ac:dyDescent="0.3">
      <c r="B18" s="356" t="s">
        <v>151</v>
      </c>
      <c r="C18" s="356"/>
      <c r="D18" s="356"/>
      <c r="E18" s="356"/>
    </row>
    <row r="19" spans="2:5" ht="17.25" x14ac:dyDescent="0.3">
      <c r="B19" s="16" t="s">
        <v>146</v>
      </c>
      <c r="C19" s="19"/>
      <c r="D19" s="19"/>
      <c r="E19" s="19"/>
    </row>
    <row r="20" spans="2:5" ht="74.25" customHeight="1" x14ac:dyDescent="0.3">
      <c r="B20" s="356" t="s">
        <v>150</v>
      </c>
      <c r="C20" s="356"/>
      <c r="D20" s="356"/>
      <c r="E20" s="356"/>
    </row>
    <row r="21" spans="2:5" ht="17.25" x14ac:dyDescent="0.3">
      <c r="B21" s="16" t="s">
        <v>148</v>
      </c>
      <c r="C21" s="19"/>
      <c r="D21" s="19"/>
      <c r="E21" s="19"/>
    </row>
    <row r="22" spans="2:5" ht="84.75" customHeight="1" x14ac:dyDescent="0.3">
      <c r="B22" s="356" t="s">
        <v>144</v>
      </c>
      <c r="C22" s="356"/>
      <c r="D22" s="356"/>
      <c r="E22" s="356"/>
    </row>
    <row r="23" spans="2:5" ht="41.25" customHeight="1" x14ac:dyDescent="0.3">
      <c r="B23" s="114"/>
      <c r="C23" s="114"/>
      <c r="D23" s="114"/>
      <c r="E23" s="114"/>
    </row>
    <row r="24" spans="2:5" ht="17.25" x14ac:dyDescent="0.3">
      <c r="B24" s="16" t="s">
        <v>149</v>
      </c>
      <c r="C24" s="19"/>
      <c r="D24" s="19"/>
      <c r="E24" s="19"/>
    </row>
    <row r="25" spans="2:5" ht="48.75" customHeight="1" x14ac:dyDescent="0.3">
      <c r="B25" s="356" t="s">
        <v>145</v>
      </c>
      <c r="C25" s="356"/>
      <c r="D25" s="356"/>
      <c r="E25" s="356"/>
    </row>
    <row r="26" spans="2:5" x14ac:dyDescent="0.3">
      <c r="B26" s="11"/>
      <c r="C26" s="20"/>
      <c r="D26" s="20"/>
      <c r="E26" s="20"/>
    </row>
    <row r="27" spans="2:5" x14ac:dyDescent="0.3">
      <c r="B27" s="11"/>
      <c r="C27" s="20"/>
      <c r="D27" s="20"/>
      <c r="E27" s="20"/>
    </row>
    <row r="28" spans="2:5" x14ac:dyDescent="0.3">
      <c r="C28" s="20"/>
      <c r="D28" s="20"/>
      <c r="E28" s="20"/>
    </row>
    <row r="29" spans="2:5" x14ac:dyDescent="0.3">
      <c r="C29" s="20"/>
      <c r="D29" s="20"/>
      <c r="E29" s="20"/>
    </row>
    <row r="33" spans="4:4" x14ac:dyDescent="0.3">
      <c r="D33" s="11" t="str">
        <f>+FA!H26</f>
        <v>Sd/-</v>
      </c>
    </row>
    <row r="34" spans="4:4" x14ac:dyDescent="0.3">
      <c r="D34" s="11" t="str">
        <f>+FA!H27</f>
        <v>Talep Ali</v>
      </c>
    </row>
    <row r="35" spans="4:4" x14ac:dyDescent="0.3">
      <c r="D35" s="11" t="str">
        <f>+FA!H28</f>
        <v>Place : Kharupetia</v>
      </c>
    </row>
    <row r="36" spans="4:4" x14ac:dyDescent="0.3">
      <c r="D36" s="11" t="str">
        <f>+FA!H29</f>
        <v>Date : 22.09.2025</v>
      </c>
    </row>
  </sheetData>
  <mergeCells count="14">
    <mergeCell ref="B25:E25"/>
    <mergeCell ref="B22:E22"/>
    <mergeCell ref="B20:E20"/>
    <mergeCell ref="A3:E3"/>
    <mergeCell ref="B12:E12"/>
    <mergeCell ref="B4:E4"/>
    <mergeCell ref="B5:E5"/>
    <mergeCell ref="B6:E6"/>
    <mergeCell ref="B10:E10"/>
    <mergeCell ref="A1:E1"/>
    <mergeCell ref="A2:E2"/>
    <mergeCell ref="B14:E14"/>
    <mergeCell ref="B16:E16"/>
    <mergeCell ref="B18:E18"/>
  </mergeCells>
  <pageMargins left="0.7" right="7.0000000000000007E-2" top="0.75" bottom="0.48" header="0.3" footer="0.3"/>
  <pageSetup scale="89" orientation="portrait" r:id="rId1"/>
  <rowBreaks count="1" manualBreakCount="1">
    <brk id="22"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showGridLines="0" view="pageBreakPreview" topLeftCell="A7" zoomScale="96" zoomScaleNormal="100" zoomScaleSheetLayoutView="96" workbookViewId="0">
      <selection activeCell="C14" sqref="C14"/>
    </sheetView>
  </sheetViews>
  <sheetFormatPr defaultRowHeight="16.5" x14ac:dyDescent="0.3"/>
  <cols>
    <col min="1" max="1" width="6" style="102" bestFit="1" customWidth="1"/>
    <col min="2" max="2" width="10.85546875" style="101" bestFit="1" customWidth="1"/>
    <col min="3" max="3" width="22.85546875" style="101" customWidth="1"/>
    <col min="4" max="4" width="18.85546875" style="101" customWidth="1"/>
    <col min="5" max="5" width="16" style="101" bestFit="1" customWidth="1"/>
    <col min="6" max="6" width="14.85546875" style="101" bestFit="1" customWidth="1"/>
    <col min="7" max="7" width="16" style="101" bestFit="1" customWidth="1"/>
    <col min="8" max="8" width="17.85546875" style="101" customWidth="1"/>
    <col min="9" max="16384" width="9.140625" style="101"/>
  </cols>
  <sheetData>
    <row r="1" spans="1:8" x14ac:dyDescent="0.3">
      <c r="A1" s="350" t="e">
        <f>+'Balance Sheet '!#REF!</f>
        <v>#REF!</v>
      </c>
      <c r="B1" s="350"/>
      <c r="C1" s="350"/>
      <c r="D1" s="350"/>
      <c r="E1" s="350"/>
      <c r="F1" s="350"/>
      <c r="G1" s="350"/>
      <c r="H1" s="350"/>
    </row>
    <row r="2" spans="1:8" x14ac:dyDescent="0.3">
      <c r="A2" s="350" t="e">
        <f>+'Balance Sheet '!#REF!</f>
        <v>#REF!</v>
      </c>
      <c r="B2" s="350"/>
      <c r="C2" s="350"/>
      <c r="D2" s="350"/>
      <c r="E2" s="350"/>
      <c r="F2" s="350"/>
      <c r="G2" s="350"/>
      <c r="H2" s="350"/>
    </row>
    <row r="3" spans="1:8" x14ac:dyDescent="0.3">
      <c r="A3" s="350" t="e">
        <f>+'Balance Sheet '!#REF!</f>
        <v>#REF!</v>
      </c>
      <c r="B3" s="350"/>
      <c r="C3" s="350"/>
      <c r="D3" s="350"/>
      <c r="E3" s="350"/>
      <c r="F3" s="350"/>
      <c r="G3" s="350"/>
      <c r="H3" s="350"/>
    </row>
    <row r="4" spans="1:8" x14ac:dyDescent="0.3">
      <c r="A4" s="350" t="str">
        <f>+'Balance Sheet '!A4:H4</f>
        <v>C/O : SALEH UDDIN , VILL : NAGAJAN</v>
      </c>
      <c r="B4" s="350"/>
      <c r="C4" s="350"/>
      <c r="D4" s="350"/>
      <c r="E4" s="350"/>
      <c r="F4" s="350"/>
      <c r="G4" s="350"/>
      <c r="H4" s="350"/>
    </row>
    <row r="5" spans="1:8" x14ac:dyDescent="0.3">
      <c r="A5" s="350" t="str">
        <f>+'Balance Sheet '!A5:H5</f>
        <v>P.O : KHARUPETIA , DIST. : DARRANG</v>
      </c>
      <c r="B5" s="350"/>
      <c r="C5" s="350"/>
      <c r="D5" s="350"/>
      <c r="E5" s="350"/>
      <c r="F5" s="350"/>
      <c r="G5" s="350"/>
      <c r="H5" s="350"/>
    </row>
    <row r="6" spans="1:8" x14ac:dyDescent="0.3">
      <c r="A6" s="350" t="str">
        <f>+'Balance Sheet '!A6:H6</f>
        <v>STATE : ASSAM, PIN : 784115</v>
      </c>
      <c r="B6" s="350"/>
      <c r="C6" s="350"/>
      <c r="D6" s="350"/>
      <c r="E6" s="350"/>
      <c r="F6" s="350"/>
      <c r="G6" s="350"/>
      <c r="H6" s="350"/>
    </row>
    <row r="7" spans="1:8" x14ac:dyDescent="0.3">
      <c r="A7" s="185"/>
      <c r="B7" s="185"/>
      <c r="C7" s="185"/>
      <c r="D7" s="185"/>
      <c r="E7" s="185"/>
      <c r="F7" s="185"/>
      <c r="G7" s="185"/>
      <c r="H7" s="185"/>
    </row>
    <row r="8" spans="1:8" x14ac:dyDescent="0.3">
      <c r="A8" s="350" t="s">
        <v>162</v>
      </c>
      <c r="B8" s="350"/>
      <c r="C8" s="350"/>
      <c r="D8" s="350"/>
      <c r="E8" s="350"/>
      <c r="F8" s="350"/>
      <c r="G8" s="350"/>
      <c r="H8" s="350"/>
    </row>
    <row r="9" spans="1:8" x14ac:dyDescent="0.3">
      <c r="A9" s="185"/>
      <c r="B9" s="185"/>
      <c r="C9" s="185"/>
      <c r="D9" s="186"/>
    </row>
    <row r="10" spans="1:8" x14ac:dyDescent="0.3">
      <c r="A10" s="187" t="s">
        <v>163</v>
      </c>
      <c r="B10" s="185"/>
      <c r="C10" s="188">
        <v>600000</v>
      </c>
      <c r="D10" s="187"/>
    </row>
    <row r="11" spans="1:8" x14ac:dyDescent="0.3">
      <c r="A11" s="187" t="s">
        <v>164</v>
      </c>
      <c r="B11" s="185"/>
      <c r="C11" s="188">
        <f>0.16504/12</f>
        <v>1.3753333333333333E-2</v>
      </c>
      <c r="D11" s="187" t="s">
        <v>165</v>
      </c>
    </row>
    <row r="12" spans="1:8" x14ac:dyDescent="0.3">
      <c r="A12" s="187" t="s">
        <v>166</v>
      </c>
      <c r="B12" s="185"/>
      <c r="C12" s="188">
        <v>180</v>
      </c>
      <c r="D12" s="187" t="s">
        <v>167</v>
      </c>
    </row>
    <row r="13" spans="1:8" x14ac:dyDescent="0.3">
      <c r="A13" s="187" t="s">
        <v>168</v>
      </c>
      <c r="B13" s="185"/>
      <c r="C13" s="189">
        <f>ROUND((PMT(C11,C12,-C10)),0)</f>
        <v>9024</v>
      </c>
      <c r="D13" s="190"/>
    </row>
    <row r="15" spans="1:8" x14ac:dyDescent="0.3">
      <c r="A15" s="191" t="s">
        <v>169</v>
      </c>
      <c r="B15" s="192" t="s">
        <v>167</v>
      </c>
      <c r="C15" s="191" t="s">
        <v>170</v>
      </c>
      <c r="D15" s="191" t="s">
        <v>171</v>
      </c>
      <c r="E15" s="191" t="s">
        <v>172</v>
      </c>
      <c r="F15" s="191" t="s">
        <v>173</v>
      </c>
      <c r="G15" s="191" t="s">
        <v>174</v>
      </c>
      <c r="H15" s="191" t="s">
        <v>3</v>
      </c>
    </row>
    <row r="16" spans="1:8" x14ac:dyDescent="0.3">
      <c r="A16" s="193">
        <v>1</v>
      </c>
      <c r="B16" s="194" t="s">
        <v>175</v>
      </c>
      <c r="C16" s="193">
        <v>2024</v>
      </c>
      <c r="D16" s="195">
        <f>C10</f>
        <v>600000</v>
      </c>
      <c r="E16" s="195">
        <f>ROUND((D16*$C$11),0)</f>
        <v>8252</v>
      </c>
      <c r="F16" s="195">
        <f>D16+E16</f>
        <v>608252</v>
      </c>
      <c r="G16" s="195">
        <v>21052</v>
      </c>
      <c r="H16" s="196">
        <f>F16-G16</f>
        <v>587200</v>
      </c>
    </row>
    <row r="17" spans="1:8" x14ac:dyDescent="0.3">
      <c r="A17" s="193">
        <f t="shared" ref="A17:A23" si="0">A16+1</f>
        <v>2</v>
      </c>
      <c r="B17" s="194" t="s">
        <v>176</v>
      </c>
      <c r="C17" s="193">
        <v>2024</v>
      </c>
      <c r="D17" s="195">
        <f>H16</f>
        <v>587200</v>
      </c>
      <c r="E17" s="195">
        <f t="shared" ref="E17:E23" si="1">ROUND((D17*$C$11),0)</f>
        <v>8076</v>
      </c>
      <c r="F17" s="195">
        <f>E17+D17</f>
        <v>595276</v>
      </c>
      <c r="G17" s="195">
        <v>21052</v>
      </c>
      <c r="H17" s="196">
        <f t="shared" ref="H17:H23" si="2">F17-G17</f>
        <v>574224</v>
      </c>
    </row>
    <row r="18" spans="1:8" x14ac:dyDescent="0.3">
      <c r="A18" s="193">
        <v>3</v>
      </c>
      <c r="B18" s="194" t="s">
        <v>177</v>
      </c>
      <c r="C18" s="193">
        <v>2024</v>
      </c>
      <c r="D18" s="195">
        <f t="shared" ref="D18:D23" si="3">H17</f>
        <v>574224</v>
      </c>
      <c r="E18" s="195">
        <f t="shared" si="1"/>
        <v>7897</v>
      </c>
      <c r="F18" s="195">
        <f t="shared" ref="F18:F23" si="4">E18+D18</f>
        <v>582121</v>
      </c>
      <c r="G18" s="195">
        <v>21052</v>
      </c>
      <c r="H18" s="196">
        <f t="shared" si="2"/>
        <v>561069</v>
      </c>
    </row>
    <row r="19" spans="1:8" x14ac:dyDescent="0.3">
      <c r="A19" s="193">
        <v>4</v>
      </c>
      <c r="B19" s="101" t="s">
        <v>178</v>
      </c>
      <c r="C19" s="193">
        <v>2024</v>
      </c>
      <c r="D19" s="195">
        <f t="shared" si="3"/>
        <v>561069</v>
      </c>
      <c r="E19" s="195">
        <f t="shared" si="1"/>
        <v>7717</v>
      </c>
      <c r="F19" s="195">
        <f t="shared" si="4"/>
        <v>568786</v>
      </c>
      <c r="G19" s="195">
        <v>21052</v>
      </c>
      <c r="H19" s="196">
        <f t="shared" si="2"/>
        <v>547734</v>
      </c>
    </row>
    <row r="20" spans="1:8" x14ac:dyDescent="0.3">
      <c r="A20" s="193">
        <v>5</v>
      </c>
      <c r="B20" s="194" t="s">
        <v>179</v>
      </c>
      <c r="C20" s="193">
        <v>2024</v>
      </c>
      <c r="D20" s="195">
        <f t="shared" si="3"/>
        <v>547734</v>
      </c>
      <c r="E20" s="195">
        <f t="shared" si="1"/>
        <v>7533</v>
      </c>
      <c r="F20" s="195">
        <f t="shared" si="4"/>
        <v>555267</v>
      </c>
      <c r="G20" s="195">
        <v>21052</v>
      </c>
      <c r="H20" s="196">
        <f t="shared" si="2"/>
        <v>534215</v>
      </c>
    </row>
    <row r="21" spans="1:8" x14ac:dyDescent="0.3">
      <c r="A21" s="193">
        <v>6</v>
      </c>
      <c r="B21" s="194" t="s">
        <v>180</v>
      </c>
      <c r="C21" s="193">
        <v>2024</v>
      </c>
      <c r="D21" s="195">
        <f t="shared" si="3"/>
        <v>534215</v>
      </c>
      <c r="E21" s="195">
        <f t="shared" si="1"/>
        <v>7347</v>
      </c>
      <c r="F21" s="195">
        <f t="shared" si="4"/>
        <v>541562</v>
      </c>
      <c r="G21" s="195">
        <v>21052</v>
      </c>
      <c r="H21" s="196">
        <f t="shared" si="2"/>
        <v>520510</v>
      </c>
    </row>
    <row r="22" spans="1:8" x14ac:dyDescent="0.3">
      <c r="A22" s="193">
        <v>7</v>
      </c>
      <c r="B22" s="194" t="s">
        <v>181</v>
      </c>
      <c r="C22" s="193">
        <v>2024</v>
      </c>
      <c r="D22" s="195">
        <f t="shared" si="3"/>
        <v>520510</v>
      </c>
      <c r="E22" s="195">
        <f t="shared" si="1"/>
        <v>7159</v>
      </c>
      <c r="F22" s="195">
        <f t="shared" si="4"/>
        <v>527669</v>
      </c>
      <c r="G22" s="195">
        <v>21052</v>
      </c>
      <c r="H22" s="196">
        <f t="shared" si="2"/>
        <v>506617</v>
      </c>
    </row>
    <row r="23" spans="1:8" x14ac:dyDescent="0.3">
      <c r="A23" s="193">
        <f t="shared" si="0"/>
        <v>8</v>
      </c>
      <c r="B23" s="194" t="s">
        <v>182</v>
      </c>
      <c r="C23" s="193">
        <v>2024</v>
      </c>
      <c r="D23" s="195">
        <f t="shared" si="3"/>
        <v>506617</v>
      </c>
      <c r="E23" s="195">
        <f t="shared" si="1"/>
        <v>6968</v>
      </c>
      <c r="F23" s="195">
        <f t="shared" si="4"/>
        <v>513585</v>
      </c>
      <c r="G23" s="195">
        <v>21052</v>
      </c>
      <c r="H23" s="196">
        <f t="shared" si="2"/>
        <v>492533</v>
      </c>
    </row>
    <row r="24" spans="1:8" x14ac:dyDescent="0.3">
      <c r="A24" s="357" t="s">
        <v>10</v>
      </c>
      <c r="B24" s="357"/>
      <c r="C24" s="357"/>
      <c r="D24" s="357"/>
      <c r="E24" s="197">
        <f>SUM(E16:E23)</f>
        <v>60949</v>
      </c>
      <c r="F24" s="198"/>
      <c r="G24" s="197">
        <f>SUM(G16:G23)</f>
        <v>168416</v>
      </c>
      <c r="H24" s="198"/>
    </row>
    <row r="27" spans="1:8" x14ac:dyDescent="0.3">
      <c r="C27" s="101" t="str">
        <f>+[4]FA!H24</f>
        <v>Sd/-</v>
      </c>
    </row>
    <row r="28" spans="1:8" x14ac:dyDescent="0.3">
      <c r="C28" s="101" t="str">
        <f>+[4]FA!H25</f>
        <v>Suruj Ali</v>
      </c>
    </row>
    <row r="29" spans="1:8" x14ac:dyDescent="0.3">
      <c r="C29" s="101" t="str">
        <f>+[4]FA!H26</f>
        <v>Place : Kharupetia</v>
      </c>
    </row>
    <row r="30" spans="1:8" x14ac:dyDescent="0.3">
      <c r="C30" s="101" t="str">
        <f>+[4]FA!H27</f>
        <v>Date : 19.06.2025</v>
      </c>
    </row>
  </sheetData>
  <mergeCells count="8">
    <mergeCell ref="A24:D24"/>
    <mergeCell ref="A5:H5"/>
    <mergeCell ref="A6:H6"/>
    <mergeCell ref="A1:H1"/>
    <mergeCell ref="A2:H2"/>
    <mergeCell ref="A3:H3"/>
    <mergeCell ref="A4:H4"/>
    <mergeCell ref="A8:H8"/>
  </mergeCells>
  <pageMargins left="0.7" right="7.0000000000000007E-2" top="0.4" bottom="0.75" header="0.3" footer="0.3"/>
  <pageSetup scale="95" orientation="landscape" r:id="rId1"/>
  <rowBreaks count="1" manualBreakCount="1">
    <brk id="31"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COMPUTATION </vt:lpstr>
      <vt:lpstr>Balance Sheet </vt:lpstr>
      <vt:lpstr>PL New Format</vt:lpstr>
      <vt:lpstr>FA</vt:lpstr>
      <vt:lpstr>F.A. </vt:lpstr>
      <vt:lpstr>Notes</vt:lpstr>
      <vt:lpstr>Accounting Policies</vt:lpstr>
      <vt:lpstr>Loan Schedule </vt:lpstr>
      <vt:lpstr>'Accounting Policies'!Print_Area</vt:lpstr>
      <vt:lpstr>'Balance Sheet '!Print_Area</vt:lpstr>
      <vt:lpstr>'COMPUTATION '!Print_Area</vt:lpstr>
      <vt:lpstr>FA!Print_Area</vt:lpstr>
      <vt:lpstr>'Loan Schedule '!Print_Area</vt:lpstr>
      <vt:lpstr>Notes!Print_Area</vt:lpstr>
      <vt:lpstr>'PL New Format'!Print_Area</vt:lpstr>
      <vt:lpstr>'Accounting Policies'!Print_Titles</vt:lpstr>
      <vt:lpstr>Notes!Print_Titles</vt:lpstr>
    </vt:vector>
  </TitlesOfParts>
  <Company>Hewlett-Packard</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 Dinesh Deswal</dc:creator>
  <cp:lastModifiedBy>Mubarak</cp:lastModifiedBy>
  <cp:lastPrinted>2025-08-02T16:56:29Z</cp:lastPrinted>
  <dcterms:created xsi:type="dcterms:W3CDTF">2014-10-11T12:46:59Z</dcterms:created>
  <dcterms:modified xsi:type="dcterms:W3CDTF">2025-09-23T11:01:07Z</dcterms:modified>
</cp:coreProperties>
</file>